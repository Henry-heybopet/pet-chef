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2840" activeTab="1"/>
  </bookViews>
  <sheets>
    <sheet name="00_调整结论" sheetId="1" r:id="rId1"/>
    <sheet name="01_40个食谱_A+B+C" sheetId="2" r:id="rId2"/>
    <sheet name="02_B包_C包定义" sheetId="3" r:id="rId3"/>
    <sheet name="03_A包物料白名单" sheetId="4" r:id="rId4"/>
    <sheet name="04_高端功能物料池" sheetId="5" r:id="rId5"/>
    <sheet name="05_分类合并规则" sheetId="6" r:id="rId6"/>
    <sheet name="06_变更日志" sheetId="7" r:id="rId7"/>
    <sheet name="07_B包科学依据" sheetId="8" r:id="rId8"/>
    <sheet name="08_C包科学依据" sheetId="9" r:id="rId9"/>
    <sheet name="09_营养合规审查" sheetId="10" r:id="rId10"/>
    <sheet name="10_上市前验证清单" sheetId="11" r:id="rId11"/>
    <sheet name="11_蛋白肾脏说明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<sst xmlns="http://schemas.openxmlformats.org/spreadsheetml/2006/main" count="1250" uniqueCount="710">
  <si>
    <t>犬用鲜食配方 A+B+C 优化版</t>
  </si>
  <si>
    <t>本版目标</t>
  </si>
  <si>
    <t>在保留原40种食谱编号与类型的前提下，基础A包只使用高频、稳定、低风险、低成本食材；B包单列全价营养包；C包单列功能包/高端功能素材。</t>
  </si>
  <si>
    <t>核心调整 1</t>
  </si>
  <si>
    <t>幼犬小型犬+中型犬合并为“幼犬通用”；大型幼犬保留为“控钙幼犬（大型幼犬）”。</t>
  </si>
  <si>
    <t>核心调整 2</t>
  </si>
  <si>
    <t>成年犬合并为“成犬通用”；老年犬合并为“老年犬通用”。不同体型主要通过喂食量、包装克重和营养包策略管理。</t>
  </si>
  <si>
    <t>核心调整 3</t>
  </si>
  <si>
    <t>青豆移出基础A包，全部用西蓝花替代。原因：豆类如果熟化不足存在消化/抗营养因子风险；同时高比例豆类在犬粮中存在争议，基础款不必承担该风险。</t>
  </si>
  <si>
    <t>核心调整 4</t>
  </si>
  <si>
    <t>虾仁、黄金鲍鱼、海茄子、海虹、三文鱼脂肪腺、牛肉米龙不进入基础40个A包，另列为“高端功能物料池”。</t>
  </si>
  <si>
    <t>核心调整 5</t>
  </si>
  <si>
    <t>低敏系列保持单一动物蛋白，不混虾仁、鲍鱼、海茄子、海虹，也不混牛心、鸡心。</t>
  </si>
  <si>
    <t>核心调整 6</t>
  </si>
  <si>
    <t>牛心只在部分牛肉线中按5%–6%加入：牛肉红薯活力、牛肉高蛋白成长、牛肉能量、牛肉补能；护肝和低敏线不加入。</t>
  </si>
  <si>
    <t>保留数量</t>
  </si>
  <si>
    <t>40个 recipe_id / 40种原食谱类型全部保留。</t>
  </si>
  <si>
    <t>重要提示</t>
  </si>
  <si>
    <t>本表是配方结构和物料替换建议，不等于最终全价营养认证。B包维矿、钙磷和油脂比例需结合检测值、加工损耗、AAFCO/本地法规和兽医营养师意见做最终核算。</t>
  </si>
  <si>
    <t>外部参考1</t>
  </si>
  <si>
    <t>https://www.fda.gov/animal-veterinary/outbreaks-and-advisories/fda-investigation-potential-link-between-certain-diets-and-canine-dilated-cardiomyopathy</t>
  </si>
  <si>
    <t>外部参考2</t>
  </si>
  <si>
    <t>https://www.akc.org/expert-advice/nutrition/can-dogs-eat-peas/</t>
  </si>
  <si>
    <t>本次修订：B包细化</t>
  </si>
  <si>
    <t>B包仍统一按总配方4%预留，但内部结构按幼犬成长、大型幼犬控钙、成犬维护、美毛、护肝、老年犬轻负担、低敏单一蛋白分别设计，不再使用同一套配比。</t>
  </si>
  <si>
    <t>B包原则1</t>
  </si>
  <si>
    <t>大型幼犬不是简单换名称，而是降低钙磷矿物粉比例，并用“控钙钙磷矿物粉”控制Ca:P，避免钙过量风险。</t>
  </si>
  <si>
    <t>B包原则2</t>
  </si>
  <si>
    <t>老年犬不做高矿物负担设计，偏向低磷钙源/维护矿物与EPA-DHA支持；但不等同于肾病处方。</t>
  </si>
  <si>
    <t>B包原则3</t>
  </si>
  <si>
    <t>低敏B包避免引入额外动物蛋白载体，油脂优先藻油或高度精炼低敏油脂。</t>
  </si>
  <si>
    <t>外部参考3</t>
  </si>
  <si>
    <t>https://www.aafco.org/wp-content/uploads/2023/01/Model_Bills_and_Regulations_Agenda_Midyear_2015_Final_Attachment_A.__Proposed_revisions_to_AAFCO_Nutrient_Profiles_PFC_Final_070214.pdf</t>
  </si>
  <si>
    <t>外部参考4</t>
  </si>
  <si>
    <t>https://www.merckvetmanual.com/management-and-nutrition/nutrition-small-animals/nutritional-requirements-of-small-animals</t>
  </si>
  <si>
    <t>本次修订：C包补充</t>
  </si>
  <si>
    <t>新增并科学细化4个C功能包：肠胃健康、关节支持、心脏健康、抗炎免疫；并将已有食谱中的C包名称同步到新定义。</t>
  </si>
  <si>
    <t>C包原则1</t>
  </si>
  <si>
    <t>AAFCO核心是完整均衡营养与生命阶段匹配；C包不承担全价营养，不能替代B包维矿、钙磷和必需脂肪酸。</t>
  </si>
  <si>
    <t>C包原则2</t>
  </si>
  <si>
    <t>对外建议使用“支持/维护/帮助保持”结构功能话术，避免“治疗、预防、治愈”疾病化宣称。</t>
  </si>
  <si>
    <t>C包原则3</t>
  </si>
  <si>
    <t>抗炎免疫包建议对外命名为“抗氧化免疫支持功能包”，避免药品化抗炎治疗表达。</t>
  </si>
  <si>
    <t>外部参考5</t>
  </si>
  <si>
    <t>https://www.fda.gov/food/nutrition-food-labeling-and-critical-foods/structurefunction-claims</t>
  </si>
  <si>
    <t>外部参考6</t>
  </si>
  <si>
    <t>https://www.fda.gov/animal-veterinary/animal-foods-feeds/animal-food-labeling-and-pet-food-claims</t>
  </si>
  <si>
    <t>recipe_id</t>
  </si>
  <si>
    <t>产品化大类</t>
  </si>
  <si>
    <t>新版配方名称</t>
  </si>
  <si>
    <t>A包合计%</t>
  </si>
  <si>
    <t>A包-肉/鱼主蛋白%</t>
  </si>
  <si>
    <t>A包-内脏/副蛋白%</t>
  </si>
  <si>
    <t>A包-果蔬%</t>
  </si>
  <si>
    <t>A包-碳水/主食%</t>
  </si>
  <si>
    <t>A包明细</t>
  </si>
  <si>
    <t>B包合计%</t>
  </si>
  <si>
    <t>B包明细</t>
  </si>
  <si>
    <t>C包合计%</t>
  </si>
  <si>
    <t>C包明细</t>
  </si>
  <si>
    <t>总计%</t>
  </si>
  <si>
    <t>动物蛋白结构</t>
  </si>
  <si>
    <t>是否牛+鸡同餐</t>
  </si>
  <si>
    <t>低敏/单一蛋白检查</t>
  </si>
  <si>
    <t>调整说明</t>
  </si>
  <si>
    <t>dog_recipe_001</t>
  </si>
  <si>
    <t>成犬通用</t>
  </si>
  <si>
    <t>鸡肉轻盈餐</t>
  </si>
  <si>
    <t>鸡小胸 34.6 / 南瓜 19.8 / 冬瓜丁 14.8 / 全熟燕麦片 14.8 / 菠菜 7.9 / 蓝莓 4.1</t>
  </si>
  <si>
    <t>成犬维护营养包B：成犬维矿预混料 1.7 / 成犬钙磷维护矿物粉（Ca:P≈1.2–1.4:1）1.0 / Omega-3鱼油或藻油 1.3</t>
  </si>
  <si>
    <t>无</t>
  </si>
  <si>
    <t>1种动物蛋白：鸡</t>
  </si>
  <si>
    <t>否</t>
  </si>
  <si>
    <t>不适用</t>
  </si>
  <si>
    <t>原油脂/钙源移入B包：鱼油；A包替换：鸡胸肉→鸡小胸；西葫芦→冬瓜丁；燕麦→全熟燕麦片；蓝莓→蓝莓</t>
  </si>
  <si>
    <t>dog_recipe_002</t>
  </si>
  <si>
    <t>鸡肉燕麦经典</t>
  </si>
  <si>
    <t>鸡小胸 35.4 / 全熟燕麦片 25.3 / 胡萝卜 10.1 / 西蓝花 10.1 / 菠菜 10.1 / 苹果 5</t>
  </si>
  <si>
    <t>原油脂/钙源移入B包：鱼油；A包替换：鸡肉→鸡小胸；米饭→全熟燕麦片；西兰花→西蓝花</t>
  </si>
  <si>
    <t>dog_recipe_003</t>
  </si>
  <si>
    <t>金枪鱼均衡餐</t>
  </si>
  <si>
    <t>金枪鱼白肉 30.3 / 红薯 20.2 / 菠菜 15.2 / 全熟燕麦片 15.2 / 西蓝花 10.1 / 蓝莓 5</t>
  </si>
  <si>
    <t>1种动物蛋白：鱼</t>
  </si>
  <si>
    <t>原油脂/钙源移入B包：鱼油；A包替换：三文鱼→金枪鱼白肉；燕麦→全熟燕麦片；西兰花→西蓝花；蓝莓→蓝莓</t>
  </si>
  <si>
    <t>dog_recipe_004</t>
  </si>
  <si>
    <t>牛肉能量餐</t>
  </si>
  <si>
    <t>牛肉29.4 / 牛心 6.0 / 红薯 20.2 / 胡萝卜 10.1 / 西蓝花 10.1 / 全熟燕麦片 15.2 / 苹果 5</t>
  </si>
  <si>
    <t>1种动物蛋白：牛（牛前腿+牛心）</t>
  </si>
  <si>
    <t>原油脂/钙源移入B包：亚麻籽油、钙粉；A包替换：牛肉→牛肉（前腿）；土豆→红薯；西兰花→西蓝花；糙米→全熟燕麦片；牛心按6%加入成犬牛肉能量线；不使用牛肉米龙，保持低成本</t>
  </si>
  <si>
    <t>dog_recipe_005</t>
  </si>
  <si>
    <t>兔肉低脂餐</t>
  </si>
  <si>
    <t>兔里脊 34.6 / 南瓜 19.8 / 西蓝花 14.8 / 全熟燕麦片 14.8 / 胡萝卜 9.9 / 蓝莓 2.1</t>
  </si>
  <si>
    <t>1种动物蛋白：兔</t>
  </si>
  <si>
    <t>原油脂/钙源移入B包：亚麻籽油；A包替换：火鸡→兔里脊；西兰花→西蓝花；燕麦→全熟燕麦片；蓝莓→蓝莓</t>
  </si>
  <si>
    <t>dog_recipe_006</t>
  </si>
  <si>
    <t>老年犬通用</t>
  </si>
  <si>
    <t>护关节低脂</t>
  </si>
  <si>
    <t>鸡小胸 29.2 / 南瓜 19.5 / 冬瓜丁 14.6 / 全熟燕麦片 14.6 / 胡萝卜 9.7 / 蓝莓 6.9</t>
  </si>
  <si>
    <t>老年犬轻负担营养包B：老年犬维矿预混料（抗氧化支持）1.9 / 低磷钙源或钙磷维护矿物粉 0.8 / EPA-DHA鱼油或藻油 1.3</t>
  </si>
  <si>
    <t>关节支持功能包C：葡萄糖胺/软骨素/MSM/透明质酸 1.5</t>
  </si>
  <si>
    <t>原油脂/钙源移入B包：鱼油；原功能/非供货项移入C包：葡萄糖胺；A包替换：鸡胸肉→鸡小胸；西葫芦→冬瓜丁；燕麦→全熟燕麦片；蓝莓→蓝莓</t>
  </si>
  <si>
    <t>dog_recipe_007</t>
  </si>
  <si>
    <t>鸡肉高纤</t>
  </si>
  <si>
    <t>鸡小胸 29.7 / 南瓜 24.7 / 西蓝花 19.8 / 全熟燕麦片 9.9 / 胡萝卜 9.9 / 蓝莓 2</t>
  </si>
  <si>
    <t>原油脂/钙源移入B包：鱼油；A包替换：鸡肉→鸡小胸；西兰花→西蓝花；燕麦→全熟燕麦片；蓝莓→蓝莓</t>
  </si>
  <si>
    <t>dog_recipe_008</t>
  </si>
  <si>
    <t>金枪鱼护心</t>
  </si>
  <si>
    <t>金枪鱼白肉 30 / 红薯 20 / 菠菜 20 / 全熟燕麦片 15 / 蓝莓 10</t>
  </si>
  <si>
    <t>心脏健康支持功能包C：牛磺酸/L-肉碱/辅酶Q10 1.0</t>
  </si>
  <si>
    <t>原油脂/钙源移入B包：钙粉、鱼油；A包替换：三文鱼→金枪鱼白肉；燕麦→全熟燕麦片；蓝莓→蓝莓</t>
  </si>
  <si>
    <t>dog_recipe_009</t>
  </si>
  <si>
    <t>牛肉补能</t>
  </si>
  <si>
    <t>牛肉24.3 / 牛心 6.0 / 红薯 25.3 / 胡萝卜 15.2 / 西蓝花 10.1 / 全熟燕麦片 10.1 / 蓝莓 5</t>
  </si>
  <si>
    <t>原油脂/钙源移入B包：鱼油；A包替换：牛肉→牛肉（前腿）；土豆→红薯；西兰花→西蓝花；燕麦→全熟燕麦片；蓝莓→蓝莓；牛心按6%加入老年犬牛肉补能线；护肝/低敏线不加入牛心</t>
  </si>
  <si>
    <t>dog_recipe_010</t>
  </si>
  <si>
    <t>易消化温和</t>
  </si>
  <si>
    <t>兔里脊 30.3 / 红薯 25.3 / 南瓜 20.2 / 菠菜 10.1 / 全熟燕麦片 10.1</t>
  </si>
  <si>
    <t>原油脂/钙源移入B包：亚麻籽油、钙粉；A包替换：火鸡→兔里脊；燕麦→全熟燕麦片</t>
  </si>
  <si>
    <t>dog_recipe_011</t>
  </si>
  <si>
    <t>低敏单一蛋白</t>
  </si>
  <si>
    <t>金枪鱼单一低敏</t>
  </si>
  <si>
    <t>金枪鱼白肉 45 / 红薯 25 / 冬瓜丁 15 / 全熟燕麦片 10</t>
  </si>
  <si>
    <t>低敏单一蛋白营养包B：低敏维矿预混料 2.0 / 低敏钙源矿物粉（不含动物蛋白载体）1.2 / 藻油或高度精炼低敏油脂 0.8</t>
  </si>
  <si>
    <t>肠胃健康支持功能包C（低敏版）：FOS/MOS益生元/后生元/低敏载体 1.0</t>
  </si>
  <si>
    <t>单一动物蛋白：鱼</t>
  </si>
  <si>
    <t>通过：单一动物蛋白，不含心/肝/高价水产</t>
  </si>
  <si>
    <t>原油脂/钙源移入B包：鱼油；A包替换：白鱼→金枪鱼白肉；土豆→红薯；西葫芦→冬瓜丁；燕麦→全熟燕麦片；低敏款保持单一动物蛋白原则；不建议混牛+鸡；低敏线保持单一动物蛋白，不混牛心/鸡心/虾仁/鲍鱼/海茄子/海虹</t>
  </si>
  <si>
    <t>dog_recipe_012</t>
  </si>
  <si>
    <t>兔肉菠菜单一低敏</t>
  </si>
  <si>
    <t>兔里脊 45 / 红薯 25 / 菠菜 15 / 全熟燕麦片 10</t>
  </si>
  <si>
    <t>单一动物蛋白：兔</t>
  </si>
  <si>
    <t>原油脂/钙源移入B包：亚麻籽油；A包替换：火鸡→兔里脊；燕麦→全熟燕麦片；低敏款保持单一动物蛋白原则；不建议混牛+鸡；低敏线保持单一动物蛋白，不混牛心/鸡心/虾仁/鲍鱼/海茄子/海虹</t>
  </si>
  <si>
    <t>dog_recipe_013</t>
  </si>
  <si>
    <t>兔肉红薯单一低敏</t>
  </si>
  <si>
    <t>兔里脊 49 / 红薯 24.5 / 冬瓜丁 14.7 / 蓝莓 6.8</t>
  </si>
  <si>
    <t>原油脂/钙源移入B包：橄榄油；A包替换：鹿肉→兔里脊；西葫芦→冬瓜丁；蓝莓→蓝莓；低敏款保持单一动物蛋白原则；不建议混牛+鸡；低敏线保持单一动物蛋白，不混牛心/鸡心/虾仁/鲍鱼/海茄子/海虹</t>
  </si>
  <si>
    <t>dog_recipe_014</t>
  </si>
  <si>
    <t>鸭肉胡萝卜单一低敏</t>
  </si>
  <si>
    <t>鸭小胸 45 / 南瓜 25 / 胡萝卜 15 / 全熟燕麦片 10</t>
  </si>
  <si>
    <t>单一动物蛋白：鸭</t>
  </si>
  <si>
    <t>原油脂/钙源移入B包：鱼油；A包替换：羊肉→鸭小胸；燕麦→全熟燕麦片；低敏款保持单一动物蛋白原则；不建议混牛+鸡；低敏线保持单一动物蛋白，不混牛心/鸡心/虾仁/鲍鱼/海茄子/海虹</t>
  </si>
  <si>
    <t>dog_recipe_015</t>
  </si>
  <si>
    <t>鸭肉南瓜单一低敏</t>
  </si>
  <si>
    <t>鸭小胸 45 / 南瓜 25 / 冬瓜丁 15 / 全熟燕麦片 10</t>
  </si>
  <si>
    <t>原油脂/钙源移入B包：鱼油；A包替换：鸭肉→鸭小胸；西葫芦→冬瓜丁；燕麦→全熟燕麦片；低敏款保持单一动物蛋白原则；不建议混牛+鸡；低敏线保持单一动物蛋白，不混牛心/鸡心/虾仁/鲍鱼/海茄子/海虹</t>
  </si>
  <si>
    <t>dog_recipe_016</t>
  </si>
  <si>
    <t>护肝</t>
  </si>
  <si>
    <t>鸡肉姜黄</t>
  </si>
  <si>
    <t>鸡小胸 36.6 / 南瓜 26.1 / 胡萝卜 15.7 / 全熟燕麦片 15.6</t>
  </si>
  <si>
    <t>成犬/护肝基础营养包B：成犬维矿预混料 1.8 / 成犬钙磷维护矿物粉（Ca:P≈1.2–1.4:1）1.0 / Omega-3鱼油或藻油 1.2</t>
  </si>
  <si>
    <t>护肝支持功能包C：水飞蓟素/胆碱/牛磺酸/姜黄素 2.0</t>
  </si>
  <si>
    <t>原油脂/钙源移入B包：鱼油；原功能/非供货项移入C包：姜黄；A包替换：鸡肉→鸡小胸；燕麦→全熟燕麦片</t>
  </si>
  <si>
    <t>dog_recipe_017</t>
  </si>
  <si>
    <t>鸡肉南瓜</t>
  </si>
  <si>
    <t>鸡小胸 33.9 / 南瓜 24.2 / 胡萝卜 9.7 / 全熟燕麦片 14.5 / 西蓝花 9.7 / 蓝莓 2</t>
  </si>
  <si>
    <t>护肝支持功能包C：水飞蓟素/胆碱/牛磺酸 2.0</t>
  </si>
  <si>
    <t>原油脂/钙源移入B包：鱼油；A包替换：鸡肉→鸡小胸；燕麦→全熟燕麦片；西兰花→西蓝花；蓝莓→蓝莓</t>
  </si>
  <si>
    <t>dog_recipe_018</t>
  </si>
  <si>
    <t>金枪鱼抗氧</t>
  </si>
  <si>
    <t>金枪鱼白肉 29.7 / 南瓜 19.8 / 菠菜 19.8 / 全熟燕麦片 14.8 / 蓝莓 9.9</t>
  </si>
  <si>
    <t>原油脂/钙源移入B包：鱼油；A包替换：三文鱼→金枪鱼白肉；燕麦→全熟燕麦片；蓝莓→蓝莓</t>
  </si>
  <si>
    <t>dog_recipe_019</t>
  </si>
  <si>
    <t>牛肉轻负担</t>
  </si>
  <si>
    <t>牛肉29.7 / 南瓜 24.7 / 西蓝花 14.8 / 全熟燕麦片 14.8 / 蓝莓 10</t>
  </si>
  <si>
    <t>1种动物蛋白：牛</t>
  </si>
  <si>
    <t>原油脂/钙源移入B包：鱼油；A包替换：牛肉→牛肉（前腿）；西兰花→西蓝花；燕麦→全熟燕麦片；蓝莓→蓝莓</t>
  </si>
  <si>
    <t>dog_recipe_020</t>
  </si>
  <si>
    <t>兔肉低脂</t>
  </si>
  <si>
    <t>兔里脊 34.6 / 南瓜 24.7 / 菠菜 14.8 / 全熟燕麦片 14.8 / 蓝莓 5.1</t>
  </si>
  <si>
    <t>原油脂/钙源移入B包：亚麻籽油；A包替换：火鸡→兔里脊；燕麦→全熟燕麦片；蓝莓→蓝莓</t>
  </si>
  <si>
    <t>dog_recipe_021</t>
  </si>
  <si>
    <t>美毛护肤</t>
  </si>
  <si>
    <t>鸡肉美毛</t>
  </si>
  <si>
    <t>鸡小胸 34.6 / 南瓜 19.8 / 菠菜 14.8 / 全熟燕麦片 14.8 / 蓝莓 10</t>
  </si>
  <si>
    <t>成犬/美毛基础营养包B：成犬维矿预混料 1.6 / 成犬钙磷维护矿物粉（Ca:P≈1.2–1.4:1）0.9 / Omega-3鱼油或藻油 1.5</t>
  </si>
  <si>
    <t>美毛护肤支持功能包C：卵磷脂/生物素/有机锌 2.0</t>
  </si>
  <si>
    <t>原油脂/钙源移入B包：亚麻籽油；A包替换：鸡肉→鸡小胸；燕麦→全熟燕麦片；蓝莓→蓝莓</t>
  </si>
  <si>
    <t>dog_recipe_022</t>
  </si>
  <si>
    <t>金枪鱼抗炎</t>
  </si>
  <si>
    <t>金枪鱼白肉 37.6 / 红薯 19.8 / 菠菜 14.8 / 全熟燕麦片 14.8 / 蓝莓 7</t>
  </si>
  <si>
    <t>抗炎免疫支持功能包C：酵母β-葡聚糖/天然维生素E/多酚或姜黄素 2.0</t>
  </si>
  <si>
    <t>dog_recipe_023</t>
  </si>
  <si>
    <t>金枪鱼亮毛</t>
  </si>
  <si>
    <t>金枪鱼白肉 43.2 / 胡萝卜 10.8 / 蓝莓 10.8 / 全熟燕麦片 16.2 / 菠菜 13</t>
  </si>
  <si>
    <t>原油脂/钙源移入B包：亚麻籽油；原功能/非供货项移入C包：鸡蛋；A包替换：三文鱼→金枪鱼白肉；蓝莓→蓝莓；燕麦→全熟燕麦片</t>
  </si>
  <si>
    <t>dog_recipe_024</t>
  </si>
  <si>
    <t>牛肉护肤</t>
  </si>
  <si>
    <t>牛肉34.6 / 红薯 19.8 / 胡萝卜 14.8 / 菠菜 9.9 / 全熟燕麦片 14.9</t>
  </si>
  <si>
    <t>原油脂/钙源移入B包：鱼油；A包替换：牛肉→牛肉（前腿）；燕麦→全熟燕麦片</t>
  </si>
  <si>
    <t>dog_recipe_025</t>
  </si>
  <si>
    <t>兔肉抗敏</t>
  </si>
  <si>
    <t>兔里脊 34.6 / 南瓜 19.8 / 西蓝花 14.8 / 全熟燕麦片 14.8 / 蓝莓 10</t>
  </si>
  <si>
    <t>dog_recipe_026</t>
  </si>
  <si>
    <t>控钙幼犬（大型幼犬）</t>
  </si>
  <si>
    <t>鸡肉蔬菜成长</t>
  </si>
  <si>
    <t>鸡小胸 38.4 / 南瓜 20.2 / 西蓝花 15.2 / 胡萝卜 10.1 / 全熟燕麦片 12.1</t>
  </si>
  <si>
    <t>大型幼犬稳骨控钙营养包B：大型幼犬低钙维矿预混料 1.8 / 控钙钙磷矿物粉（低钙，Ca:P≈1.2:1）0.9 / DHA-EPA鱼油或藻油 1.3</t>
  </si>
  <si>
    <t>原油脂/钙源移入B包：钙粉、鱼油；A包替换：鸡肉→鸡小胸；西兰花→西蓝花；糙米→全熟燕麦片</t>
  </si>
  <si>
    <t>dog_recipe_027</t>
  </si>
  <si>
    <t>鸡肉稳生长</t>
  </si>
  <si>
    <t>鸡小胸 39.6 / 鸡心 9.9 / 红薯 19.8 / 冬瓜丁 9.9 / 胡萝卜 9.9 / 全熟燕麦片 6.9</t>
  </si>
  <si>
    <t>原油脂/钙源移入B包：钙粉、鱼油；A包替换：鸡胸肉→鸡小胸；西葫芦→冬瓜丁；燕麦→全熟燕麦片</t>
  </si>
  <si>
    <t>dog_recipe_028</t>
  </si>
  <si>
    <t>金枪鱼缓生长</t>
  </si>
  <si>
    <t>金枪鱼白肉 35.4 / 红薯 20.2 / 菠菜 15.2 / 全熟燕麦片 15.2 / 冬瓜丁 10</t>
  </si>
  <si>
    <t>原油脂/钙源移入B包：钙粉、鱼油；A包替换：三文鱼→金枪鱼白肉；燕麦→全熟燕麦片；西葫芦→冬瓜丁</t>
  </si>
  <si>
    <t>dog_recipe_029</t>
  </si>
  <si>
    <t>牛肉控制成长</t>
  </si>
  <si>
    <t>牛肉35.4 / 红薯 20.2 / 胡萝卜 15.2 / 西蓝花 10.1 / 全熟燕麦片 15.1</t>
  </si>
  <si>
    <t>原油脂/钙源移入B包：钙粉、鱼油；A包替换：牛肉→牛肉（前腿）；西兰花→西蓝花；燕麦→全熟燕麦片</t>
  </si>
  <si>
    <t>dog_recipe_030</t>
  </si>
  <si>
    <t>兔肉低钙成长</t>
  </si>
  <si>
    <t>兔里脊 41.3 / 南瓜 20.6 / 全熟燕麦片 15.5 / 西蓝花 10.3 / 菠菜 8.3</t>
  </si>
  <si>
    <t>原油脂/钙源移入B包：亚麻籽油、钙粉；A包替换：火鸡→兔里脊；糙米→全熟燕麦片；青豆移出基础A包，以西蓝花替代，控钙幼犬线保持低风险食材</t>
  </si>
  <si>
    <t>dog_recipe_031</t>
  </si>
  <si>
    <t>幼犬通用</t>
  </si>
  <si>
    <t>鸡肉藜麦均衡</t>
  </si>
  <si>
    <t>鸡小胸 35.4 / 鸡心 10.1 / 全熟燕麦片 20.2 / 西蓝花 10.1 / 红薯 15.2 / 蓝莓 5</t>
  </si>
  <si>
    <t>幼犬成长营养包B：幼犬维矿预混料 1.6 / 成长期钙磷矿物粉（Ca:P≈1.3:1）1.4 / DHA-EPA鱼油或藻油 1.0</t>
  </si>
  <si>
    <t>原油脂/钙源移入B包：钙粉、鱼油；A包替换：鸡胸肉→鸡小胸；藜麦→全熟燕麦片；西兰花→西蓝花；蓝莓→蓝莓</t>
  </si>
  <si>
    <t>dog_recipe_032</t>
  </si>
  <si>
    <t>鸡肉藜麦免疫餐</t>
  </si>
  <si>
    <t>鸡小胸 35 / 鸡心 10 / 全熟燕麦片 20 / 西蓝花 10 / 红薯 15 / 蓝莓 5</t>
  </si>
  <si>
    <t>抗炎免疫支持功能包C：酵母β-葡聚糖/可溶性膳食纤维/天然抗氧化物 1.0</t>
  </si>
  <si>
    <t>dog_recipe_033</t>
  </si>
  <si>
    <t>鸡肉苹果成长餐</t>
  </si>
  <si>
    <t>鸡小胸 31 / 鸡肝 9.7 / 鸡心 12.6 / 苹果 8.7 / 全熟燕麦片 3.9 / 西蓝花 5.8 / 红薯 9.7 / 南瓜 8.7 / 山药丁 5.9</t>
  </si>
  <si>
    <t>A包替换：鸡胸肉→鸡小胸；燕麦→全熟燕麦片；山药→山药丁；青豆移出基础A包，以西蓝花替代，降低豆类熟化不足和配方争议风险</t>
  </si>
  <si>
    <t>dog_recipe_034</t>
  </si>
  <si>
    <t>鸡肉土豆成长</t>
  </si>
  <si>
    <t>鸡小胸 39.2 / 红薯 20.6 / 胡萝卜 10.3 / 冬瓜丁 10.3 / 全熟燕麦片 15.6</t>
  </si>
  <si>
    <t>原油脂/钙源移入B包：钙粉、鱼油；A包替换：鸡胸肉→鸡小胸；土豆→红薯；西葫芦→冬瓜丁；糙米→全熟燕麦片</t>
  </si>
  <si>
    <t>dog_recipe_035</t>
  </si>
  <si>
    <t>金枪鱼南瓜脑发育</t>
  </si>
  <si>
    <t>金枪鱼白肉 34.8 / 鸡肝 8 / 全熟燕麦片 14.9 / 南瓜 14.9 / 胡萝卜 9.9 / 西蓝花 7 / 蓝莓 5</t>
  </si>
  <si>
    <t>脑发育支持功能包C：DHA藻油/牛磺酸/胆碱 1.5</t>
  </si>
  <si>
    <t>2种动物蛋白：鱼、鸡</t>
  </si>
  <si>
    <t>原油脂/钙源移入B包：蛋壳粉、鱼油；A包替换：三文鱼→金枪鱼白肉；燕麦→全熟燕麦片；西兰花→西蓝花；蓝莓→蓝莓</t>
  </si>
  <si>
    <t>dog_recipe_036</t>
  </si>
  <si>
    <t>金枪鱼燕麦成长</t>
  </si>
  <si>
    <t>金枪鱼白肉 37.3 / 全熟燕麦片 21.3 / 南瓜 16 / 胡萝卜 10.7 / 菠菜 10.7</t>
  </si>
  <si>
    <t>原油脂/钙源移入B包：钙粉、鱼油；A包替换：三文鱼→金枪鱼白肉；燕麦→全熟燕麦片</t>
  </si>
  <si>
    <t>dog_recipe_037</t>
  </si>
  <si>
    <t>牛肉高蛋白成长</t>
  </si>
  <si>
    <t>牛肉34.4 / 牛心 6.0 / 牛肝 8.1 / 全熟燕麦片 15.2 / 南瓜 15.2 / 胡萝卜 10.1 / 菠菜 7</t>
  </si>
  <si>
    <t>1种动物蛋白：牛（牛前腿+牛心+牛肝）</t>
  </si>
  <si>
    <t>原油脂/钙源移入B包：亚麻籽油、钙粉；A包替换：牛肉→牛肉（前腿）；糙米→全熟燕麦片；牛心按6%加入牛肉成长线，控制在5%–8%范围内</t>
  </si>
  <si>
    <t>dog_recipe_038</t>
  </si>
  <si>
    <t>牛肉红薯活力餐</t>
  </si>
  <si>
    <t>牛肉30.4 / 牛心 5.0 / 牛肝 8.1 / 红薯 20.2 / 胡萝卜 10.1 / 西蓝花 10.1 / 全熟燕麦片 10.1 / 蓝莓 2</t>
  </si>
  <si>
    <t>原油脂/钙源移入B包：钙粉、鱼油；A包替换：牛肉→牛肉（前腿）；西兰花→西蓝花；糙米→全熟燕麦片；蓝莓→蓝莓；牛心按5%加入牛肉成长/活力线，增加副蛋白多样性；牛肉前腿相应下调</t>
  </si>
  <si>
    <t>dog_recipe_039</t>
  </si>
  <si>
    <t>兔肉南瓜肠胃餐</t>
  </si>
  <si>
    <t>兔里脊 35 / 南瓜 20 / 全熟燕麦片 20 / 胡萝卜 10 / 菠菜 8 / 苹果 2</t>
  </si>
  <si>
    <t>肠胃健康支持功能包C：FOS/MOS益生元/益生菌或后生元/低敏载体 1.0</t>
  </si>
  <si>
    <t>原油脂/钙源移入B包：亚麻籽油、钙粉；A包替换：火鸡肉→兔里脊；燕麦→全熟燕麦片</t>
  </si>
  <si>
    <t>dog_recipe_040</t>
  </si>
  <si>
    <t>鸭肉红薯成长</t>
  </si>
  <si>
    <t>鸭小胸 40.4 / 红薯 20.2 / 西蓝花 10.1 / 胡萝卜 10.1 / 全熟燕麦片 15.2</t>
  </si>
  <si>
    <t>1种动物蛋白：鸭</t>
  </si>
  <si>
    <t>原油脂/钙源移入B包：亚麻籽油、钙粉；A包替换：火鸡→鸭小胸；西兰花→西蓝花；燕麦→全熟燕麦片</t>
  </si>
  <si>
    <t>包型</t>
  </si>
  <si>
    <t>适用范围</t>
  </si>
  <si>
    <t>建议明细（占总配方%）</t>
  </si>
  <si>
    <t>设计目标/科学口径</t>
  </si>
  <si>
    <t>建议合计%</t>
  </si>
  <si>
    <t>是否进入A包</t>
  </si>
  <si>
    <t>备注</t>
  </si>
  <si>
    <t>参考依据/需验证</t>
  </si>
  <si>
    <t>幼犬成长营养包B</t>
  </si>
  <si>
    <t>幼犬维矿预混料 1.6 / 成长期钙磷矿物粉（Ca:P≈1.3:1）1.4 / DHA-EPA鱼油或藻油 1.0</t>
  </si>
  <si>
    <t>生长期矿物需求高于成犬；钙磷矿物粉比例高于成犬，但不按大型幼犬控钙上限设计。</t>
  </si>
  <si>
    <t>用于原小型/中型幼犬合并后的幼犬通用系列。</t>
  </si>
  <si>
    <t>AAFCO growth Ca/P；最终以检测值核算。https://www.aafco.org/consumers/understanding-pet-food/selecting-the-right-pet-food/</t>
  </si>
  <si>
    <t>大型幼犬稳骨控钙营养包B</t>
  </si>
  <si>
    <t>大型幼犬低钙维矿预混料 1.8 / 控钙钙磷矿物粉（低钙，Ca:P≈1.2:1）0.9 / DHA-EPA鱼油或藻油 1.3</t>
  </si>
  <si>
    <t>大型幼犬重点避免钙过量；降低钙磷矿物粉占比，并把Ca:P控制在更窄区间。</t>
  </si>
  <si>
    <t>不建议与普通幼犬B包混用；适合预计成年体重≥70磅犬。</t>
  </si>
  <si>
    <t>AAFCO large-size puppy calcium cap；需按A包原料钙磷实测复核。</t>
  </si>
  <si>
    <t>成犬维护营养包B</t>
  </si>
  <si>
    <t>成犬维矿预混料 1.7 / 成犬钙磷维护矿物粉（Ca:P≈1.2–1.4:1）1.0 / Omega-3鱼油或藻油 1.3</t>
  </si>
  <si>
    <t>成犬为维持期，钙磷需求低于生长期；B包以维矿补齐和脂肪酸平衡为主。</t>
  </si>
  <si>
    <t>用于成犬日常基础款。</t>
  </si>
  <si>
    <t>AAFCO adult maintenance Ca/P；最终以全配方检测核算。</t>
  </si>
  <si>
    <t>成犬/美毛基础营养包B</t>
  </si>
  <si>
    <t>美毛系列</t>
  </si>
  <si>
    <t>成犬维矿预混料 1.6 / 成犬钙磷维护矿物粉（Ca:P≈1.2–1.4:1）0.9 / Omega-3鱼油或藻油 1.5</t>
  </si>
  <si>
    <t>美毛系列在B包里适当提高Omega-3油脂；真正功能卖点仍放C包。</t>
  </si>
  <si>
    <t>配合C包卵磷脂、生物素、有机锌等使用。</t>
  </si>
  <si>
    <t>脂肪酸作为皮肤被毛支持；需控制总脂肪与氧化稳定性。</t>
  </si>
  <si>
    <t>成犬/护肝基础营养包B</t>
  </si>
  <si>
    <t>护肝系列</t>
  </si>
  <si>
    <t>成犬维矿预混料 1.8 / 成犬钙磷维护矿物粉（Ca:P≈1.2–1.4:1）1.0 / Omega-3鱼油或藻油 1.2</t>
  </si>
  <si>
    <t>护肝系列B包保持基础维护，不额外提高矿物负担；护肝特色放C包。</t>
  </si>
  <si>
    <t>配合C包水飞蓟素、胆碱、牛磺酸等使用。</t>
  </si>
  <si>
    <t>不做治疗宣称；需与法规和兽医营养师确认。</t>
  </si>
  <si>
    <t>老年犬轻负担营养包B</t>
  </si>
  <si>
    <t>老年犬维矿预混料（抗氧化支持）1.9 / 低磷钙源或钙磷维护矿物粉 0.8 / EPA-DHA鱼油或藻油 1.3</t>
  </si>
  <si>
    <t>老年犬避免不必要磷负担，偏向轻负担矿物与EPA/DHA支持。</t>
  </si>
  <si>
    <t>不等于肾病处方；有肾病/慢病个体需另做处方逻辑。</t>
  </si>
  <si>
    <t>AAFCO维护期仍需满足矿物最低值；老年犬需按健康状态个体化。</t>
  </si>
  <si>
    <t>低敏单一蛋白营养包B</t>
  </si>
  <si>
    <t>低敏维矿预混料 2.0 / 低敏钙源矿物粉（不含动物蛋白载体）1.2 / 藻油或高度精炼低敏油脂 0.8</t>
  </si>
  <si>
    <t>低敏款B包避免引入额外动物蛋白来源；油脂优先藻油或高度精炼油。</t>
  </si>
  <si>
    <t>低敏A包保持兔/鸭/鱼单一动物蛋白，不混鸡心、牛心或海鲜高端料。</t>
  </si>
  <si>
    <t>过敏管理以单一蛋白与成分可追溯为核心；需控制交叉污染。</t>
  </si>
  <si>
    <t>脑发育支持功能包C</t>
  </si>
  <si>
    <t>幼犬脑发育/认知支持</t>
  </si>
  <si>
    <t>DHA藻油 0.6 / 胆碱 0.4 / 牛磺酸 0.3 / 低敏载体 0.2</t>
  </si>
  <si>
    <t>作为幼犬脑发育和认知支持卖点；基础DHA/EPA仍由B包承担，C包只做功能强化。</t>
  </si>
  <si>
    <t>用于金枪鱼南瓜脑发育等明确脑发育卖点配方。</t>
  </si>
  <si>
    <t>功能强化不等同全价基础营养；胆碱等需要供应商规格和剂量复核。</t>
  </si>
  <si>
    <t>美毛护肤支持功能包C</t>
  </si>
  <si>
    <t>美毛护肤系列</t>
  </si>
  <si>
    <t>卵磷脂 0.7 / 生物素+有机锌载体 0.5 / 天然维生素E或混合生育酚 0.3 / 皮肤屏障纤维或益生元 0.5</t>
  </si>
  <si>
    <t>支持皮肤屏障、被毛光泽和脂肪氧化稳定；不承担全价基础营养，锌/维E不能替代B包必需量。</t>
  </si>
  <si>
    <t>用于美毛护肤系列；避免宣称治疗皮肤病、过敏、掉毛疾病。</t>
  </si>
  <si>
    <t>AAFCO有锌/维生素E等必需营养水平；C包仅作额外功能支持。</t>
  </si>
  <si>
    <t>护肝支持功能包C</t>
  </si>
  <si>
    <t>水飞蓟素标准化原料 0.5 / 胆碱 0.5 / 牛磺酸 0.4 / 姜黄素或抗氧化植物粉 0.3 / 低敏载体 0.3</t>
  </si>
  <si>
    <t>支持肝脏代谢和抗氧化方向的产品卖点；不作为肝病治疗或处方食品。</t>
  </si>
  <si>
    <t>护肝特色放C包，B包保持基础维矿和油脂，不额外提高矿物负担。</t>
  </si>
  <si>
    <t>避免疾病治疗宣称；有肝病犬需兽医处方管理。</t>
  </si>
  <si>
    <t>肠胃健康支持功能包C</t>
  </si>
  <si>
    <t>肠胃敏感/换粮过渡/低敏系列可选</t>
  </si>
  <si>
    <t>可溶性膳食纤维（菊粉/FOS）0.4 / MOS或酵母细胞壁 0.3 / 益生菌或后生元 0.2 / 低敏载体 0.1</t>
  </si>
  <si>
    <t>支持粪便成形、肠道菌群和换粮适应；AAFCO不把益生菌/益生元作为全价必需营养，不能替代B包。</t>
  </si>
  <si>
    <t>低敏系列使用低敏载体；益生菌要考虑热加工失活，建议冻干后拌或用后生元。</t>
  </si>
  <si>
    <t>结构/功能口径：支持消化健康，不宣称治疗腹泻、IBD或胰腺炎。</t>
  </si>
  <si>
    <t>关节支持功能包C</t>
  </si>
  <si>
    <t>大型犬/老年犬/关节保护目标</t>
  </si>
  <si>
    <t>葡萄糖胺盐酸盐 0.6 / 硫酸软骨素 0.4 / MSM 0.3 / 透明质酸或UC-II微量载体 0.2</t>
  </si>
  <si>
    <t>支持软骨基质和关节活动度；不属于AAFCO全价必需营养项目，也不替代兽医治疗。</t>
  </si>
  <si>
    <t>优先用于老年犬、大型犬、体重管理后关节保护目标；幼犬生长期谨慎。</t>
  </si>
  <si>
    <t>避免宣称治疗关节炎、止痛或替代NSAID；剂量按供应商活性含量复核。</t>
  </si>
  <si>
    <t>心脏健康支持功能包C</t>
  </si>
  <si>
    <t>心脏健康关注/老年犬/鱼肉护心配方</t>
  </si>
  <si>
    <t>牛磺酸 0.35 / L-肉碱 0.25 / 辅酶Q10标准化原料 0.1 / EPA-DHA浓缩油或藻油 0.3</t>
  </si>
  <si>
    <t>支持心肌能量代谢和脂肪酸平衡；AAFCO犬粮并不把牛磺酸作为必需营养最低项，C包属于功能强化。</t>
  </si>
  <si>
    <t>有心脏病风险或症状时必须提示遵医嘱；不用于替代处方粮或药物。</t>
  </si>
  <si>
    <t>使用结构/功能话术：心脏健康支持；避免宣称治疗心脏病或DCM。</t>
  </si>
  <si>
    <t>抗炎免疫支持功能包C</t>
  </si>
  <si>
    <t>老年犬/慢性炎症倾向/免疫支持</t>
  </si>
  <si>
    <t>酵母β-葡聚糖 0.35 / 天然维生素E或混合生育酚 0.25 / 蓝莓多酚或迷迭香提取物 0.2 / 姜黄素标准化原料 0.2</t>
  </si>
  <si>
    <t>建议对外改称“抗氧化免疫支持”；用抗氧化、屏障和免疫支持口径表达，避免把炎症当疾病治疗。</t>
  </si>
  <si>
    <t>第一版谨慎使用；姜黄素、植物提取物需评估适口性、胃肠耐受和药物相互作用。</t>
  </si>
  <si>
    <t>AAFCO包含维生素E等营养水平，但β-葡聚糖/姜黄素不是全价必需营养；需安全性验证。</t>
  </si>
  <si>
    <t>物料</t>
  </si>
  <si>
    <t>分类</t>
  </si>
  <si>
    <t>基础40个A包使用状态</t>
  </si>
  <si>
    <t>替代/处理方式</t>
  </si>
  <si>
    <t>原因</t>
  </si>
  <si>
    <t>鸡小胸</t>
  </si>
  <si>
    <t>禽肉主蛋白</t>
  </si>
  <si>
    <t>保留</t>
  </si>
  <si>
    <t>作为鸡肉线主蛋白</t>
  </si>
  <si>
    <t>高频、低成本、稳定、低风险</t>
  </si>
  <si>
    <t>鸡心</t>
  </si>
  <si>
    <t>鸡副蛋白</t>
  </si>
  <si>
    <t>保留但控制</t>
  </si>
  <si>
    <t>用于鸡肉线，不进入低敏线</t>
  </si>
  <si>
    <t>提升动物蛋白多样性，但不强行每款使用</t>
  </si>
  <si>
    <t>鸡肝</t>
  </si>
  <si>
    <t>内脏</t>
  </si>
  <si>
    <t>用于部分幼犬/鸡肉线</t>
  </si>
  <si>
    <t>营养密度高，但需控制比例</t>
  </si>
  <si>
    <t>牛肉</t>
  </si>
  <si>
    <t>牛肉主蛋白</t>
  </si>
  <si>
    <t>作为牛肉线主蛋白</t>
  </si>
  <si>
    <t>替代牛肉米龙，保持成本可控</t>
  </si>
  <si>
    <t>牛心</t>
  </si>
  <si>
    <t>牛副蛋白</t>
  </si>
  <si>
    <t>选择性保留</t>
  </si>
  <si>
    <t>仅在部分牛肉成长/能量/补能线按5%–6%使用</t>
  </si>
  <si>
    <t>不是必需品，不进入护肝和低敏线</t>
  </si>
  <si>
    <t>牛肝</t>
  </si>
  <si>
    <t>用于部分牛肉成长线</t>
  </si>
  <si>
    <t>鸭小胸</t>
  </si>
  <si>
    <t>低敏/禽肉主蛋白</t>
  </si>
  <si>
    <t>用于鸭肉线和部分低敏线</t>
  </si>
  <si>
    <t>稳定、比火鸡更符合现有供货</t>
  </si>
  <si>
    <t>兔里脊</t>
  </si>
  <si>
    <t>低敏主蛋白</t>
  </si>
  <si>
    <t>用于兔肉线、低脂和低敏线</t>
  </si>
  <si>
    <t>适合做单一蛋白和低敏卖点</t>
  </si>
  <si>
    <t>金枪鱼白肉</t>
  </si>
  <si>
    <t>鱼肉主蛋白</t>
  </si>
  <si>
    <t>替代三文鱼/白鱼</t>
  </si>
  <si>
    <t>实际供货可用，适合作为鱼肉主蛋白</t>
  </si>
  <si>
    <t>红薯</t>
  </si>
  <si>
    <t>碳水/根茎</t>
  </si>
  <si>
    <t>主食/碳水来源</t>
  </si>
  <si>
    <t>高频、稳定、适口性好</t>
  </si>
  <si>
    <t>南瓜</t>
  </si>
  <si>
    <t>果蔬/根茎</t>
  </si>
  <si>
    <t>肠胃友好和低脂线</t>
  </si>
  <si>
    <t>高频、稳定、卖点清晰</t>
  </si>
  <si>
    <t>胡萝卜</t>
  </si>
  <si>
    <t>蔬菜</t>
  </si>
  <si>
    <t>基础蔬菜</t>
  </si>
  <si>
    <t>高频低风险</t>
  </si>
  <si>
    <t>西蓝花</t>
  </si>
  <si>
    <t>替代青豆</t>
  </si>
  <si>
    <t>降低豆类风险，保持绿色蔬菜和纤维来源</t>
  </si>
  <si>
    <t>菠菜</t>
  </si>
  <si>
    <t>少量使用</t>
  </si>
  <si>
    <t>避免过高比例</t>
  </si>
  <si>
    <t>冬瓜丁</t>
  </si>
  <si>
    <t>替代西葫芦/部分豆类</t>
  </si>
  <si>
    <t>低能量、温和、低成本</t>
  </si>
  <si>
    <t>山药丁</t>
  </si>
  <si>
    <t>用于部分成长餐</t>
  </si>
  <si>
    <t>温和、适口性好</t>
  </si>
  <si>
    <t>全熟燕麦片</t>
  </si>
  <si>
    <t>碳水/主食</t>
  </si>
  <si>
    <t>替代藜麦/糙米/米饭</t>
  </si>
  <si>
    <t>供应稳定、成本低、便于标准化</t>
  </si>
  <si>
    <t>苹果</t>
  </si>
  <si>
    <t>水果</t>
  </si>
  <si>
    <t>保留但少量</t>
  </si>
  <si>
    <t>用于适口和纤维</t>
  </si>
  <si>
    <t>低成本，但不作为主料</t>
  </si>
  <si>
    <t>蓝莓</t>
  </si>
  <si>
    <t>水果/功能辅助</t>
  </si>
  <si>
    <t>用于抗氧化卖点</t>
  </si>
  <si>
    <t>成本较高，基础款控制比例</t>
  </si>
  <si>
    <t>青豆</t>
  </si>
  <si>
    <t>豆类</t>
  </si>
  <si>
    <t>移出基础A包</t>
  </si>
  <si>
    <t>以西蓝花/冬瓜丁替代</t>
  </si>
  <si>
    <t>豆类熟化不足和高比例豆类争议，基础款不承担该风险</t>
  </si>
  <si>
    <t>牛肉（米龙）</t>
  </si>
  <si>
    <t>高成本牛肉</t>
  </si>
  <si>
    <t>以牛肉前腿替代</t>
  </si>
  <si>
    <t>营养差异不足以支撑基础款成本上升</t>
  </si>
  <si>
    <t>虾仁</t>
  </si>
  <si>
    <t>特殊水产</t>
  </si>
  <si>
    <t>进入高端限定SKU/功能物料池</t>
  </si>
  <si>
    <t>甲壳类过敏风险更高，不适合低敏和基础线</t>
  </si>
  <si>
    <t>黄金鲍鱼</t>
  </si>
  <si>
    <t>高价水产</t>
  </si>
  <si>
    <t>营销型食材，成本高，营养必要性弱</t>
  </si>
  <si>
    <t>海茄子/残参</t>
  </si>
  <si>
    <t>高端海洋功能料</t>
  </si>
  <si>
    <t>进入C包或高端限定SKU</t>
  </si>
  <si>
    <t>需检测和法规宣称支撑</t>
  </si>
  <si>
    <t>冻海虹</t>
  </si>
  <si>
    <t>海洋功能料</t>
  </si>
  <si>
    <t>可能有功能潜力，但基础款不使用</t>
  </si>
  <si>
    <t>三文鱼脂肪腺</t>
  </si>
  <si>
    <t>油脂/风味</t>
  </si>
  <si>
    <t>不作主蛋白</t>
  </si>
  <si>
    <t>只可作为C包或油脂补充候选</t>
  </si>
  <si>
    <t>需关注氧化、腥味和安全检测</t>
  </si>
  <si>
    <t>是否进入基础40个A包</t>
  </si>
  <si>
    <t>推荐定位</t>
  </si>
  <si>
    <t>推荐包型/SKU</t>
  </si>
  <si>
    <t>适合卖点</t>
  </si>
  <si>
    <t>注意事项</t>
  </si>
  <si>
    <t>高端限定SKU辅料</t>
  </si>
  <si>
    <t>高端海洋蛋白款A包/限定SKU</t>
  </si>
  <si>
    <t>适口性、海洋蛋白</t>
  </si>
  <si>
    <t>甲壳类过敏风险，不用于低敏系列；需控制成本和供应稳定性。</t>
  </si>
  <si>
    <t>功能概念物料</t>
  </si>
  <si>
    <t>C包功能包/高端限定SKU</t>
  </si>
  <si>
    <t>关节/免疫/海洋功能概念</t>
  </si>
  <si>
    <t>需要检测、法规宣称和剂量依据，不能随意做功效承诺。</t>
  </si>
  <si>
    <t>海洋功能物料</t>
  </si>
  <si>
    <t>关节、美毛、海洋营养</t>
  </si>
  <si>
    <t>比鲍鱼更有功能潜力，但需要标准化和过敏风险评估。</t>
  </si>
  <si>
    <t>油脂/风味候选</t>
  </si>
  <si>
    <t>C包/油脂补充候选</t>
  </si>
  <si>
    <t>Omega脂肪酸、风味</t>
  </si>
  <si>
    <t>不能替代三文鱼肉；关注氧化、腥味、脂肪稳定性和安全检测。</t>
  </si>
  <si>
    <t>高端营销型物料</t>
  </si>
  <si>
    <t>高端限定SKU或礼盒款</t>
  </si>
  <si>
    <t>高端感、稀缺感</t>
  </si>
  <si>
    <t>营养必要性弱，不适合基础主食常规化。</t>
  </si>
  <si>
    <t>原类别</t>
  </si>
  <si>
    <t>新版产品化大类</t>
  </si>
  <si>
    <t>是否合并</t>
  </si>
  <si>
    <t>A包策略</t>
  </si>
  <si>
    <t>B包策略</t>
  </si>
  <si>
    <t>幼犬（小型犬）</t>
  </si>
  <si>
    <t>合并</t>
  </si>
  <si>
    <t>与幼犬中型犬共用基础A包逻辑</t>
  </si>
  <si>
    <t>幼犬全价营养包B</t>
  </si>
  <si>
    <t>小/中型幼犬差异主要通过喂食量、包装克重管理。</t>
  </si>
  <si>
    <t>幼犬（中型犬）</t>
  </si>
  <si>
    <t>与幼犬小型犬共用基础A包逻辑</t>
  </si>
  <si>
    <t>产品化归入幼犬通用。</t>
  </si>
  <si>
    <t>幼犬（大型犬）</t>
  </si>
  <si>
    <t>不合并</t>
  </si>
  <si>
    <t>A包相近但控制能量密度和生长节奏</t>
  </si>
  <si>
    <t>大型幼犬控钙营养包B</t>
  </si>
  <si>
    <t>大型幼犬需要单独控钙/钙磷比。</t>
  </si>
  <si>
    <t>成年犬（小型犬）</t>
  </si>
  <si>
    <t>成犬可共用基础A包逻辑</t>
  </si>
  <si>
    <t>成犬/功能基础营养包B</t>
  </si>
  <si>
    <t>中大型成犬不单独拆配方，通过喂食量管理。</t>
  </si>
  <si>
    <t>老年犬（小型犬）</t>
  </si>
  <si>
    <t>老年犬可共用基础A包逻辑，强调易消化/低脂/高纤</t>
  </si>
  <si>
    <t>老年犬全价营养包B</t>
  </si>
  <si>
    <t>如后续有肾病/肥胖/关节特殊病理款，再单独开发处方或准处方SKU。</t>
  </si>
  <si>
    <t>美毛</t>
  </si>
  <si>
    <t>保留功能类</t>
  </si>
  <si>
    <t>基础A包不放高价水产</t>
  </si>
  <si>
    <t>功能卖点放C包。</t>
  </si>
  <si>
    <t>基础A包低脂、温和、避免复杂高价水产</t>
  </si>
  <si>
    <t>低敏</t>
  </si>
  <si>
    <t>单一动物蛋白，不混心/肝/高价水产</t>
  </si>
  <si>
    <t>低敏基础营养包B</t>
  </si>
  <si>
    <t>严格控制物料复杂度，方便排敏。</t>
  </si>
  <si>
    <t>变更点</t>
  </si>
  <si>
    <t>涉及食谱/物料</t>
  </si>
  <si>
    <t>处理方式</t>
  </si>
  <si>
    <t>v2.1</t>
  </si>
  <si>
    <t>全部40个食谱</t>
  </si>
  <si>
    <t>只保留高频、稳定、低风险、低成本物料</t>
  </si>
  <si>
    <t>提高供应链和标准化可控性。</t>
  </si>
  <si>
    <t>B包科学细化</t>
  </si>
  <si>
    <t>将原来相同的4%B包拆分为幼犬成长、大型幼犬控钙、成犬维护、美毛、护肝、老年犬轻负担、低敏单一蛋白；更新01和02 sheet。</t>
  </si>
  <si>
    <t>新增科学依据</t>
  </si>
  <si>
    <t>新增07_B包科学依据，列出AAFCO/Merck/VCA等参考口径与最终验证提示。</t>
  </si>
  <si>
    <t>大型幼犬修正</t>
  </si>
  <si>
    <t>大型幼犬不再只是名称区分，而是降低钙磷矿物粉并使用控钙Ca:P目标。</t>
  </si>
  <si>
    <t>低敏修正</t>
  </si>
  <si>
    <t>低敏B包改为低敏维矿、低敏钙源和藻油/高度精炼低敏油脂。</t>
  </si>
  <si>
    <t>主题</t>
  </si>
  <si>
    <t>科学/法规依据</t>
  </si>
  <si>
    <t>对B包设计的影响</t>
  </si>
  <si>
    <t>对应B包</t>
  </si>
  <si>
    <t>源URL</t>
  </si>
  <si>
    <t>状态</t>
  </si>
  <si>
    <t>大型幼犬钙上限</t>
  </si>
  <si>
    <t>AAFCO对可喂大型幼犬的配方设定较低的钙上限；大型犬通常指成年瘦体重70磅及以上。</t>
  </si>
  <si>
    <t>大型幼犬B包降低钙磷矿物粉，避免把普通幼犬矿物粉直接套用。</t>
  </si>
  <si>
    <t>最终需结合A包实测钙磷、能量密度和矿物粉规格核算。</t>
  </si>
  <si>
    <t>已用于设计</t>
  </si>
  <si>
    <t>Ca:P比例</t>
  </si>
  <si>
    <t>Merck Veterinary Manual：犬的理想Ca:P约1.2–1.4:1；AAFCO允许范围约1:1到2.1:1。</t>
  </si>
  <si>
    <t>B包名称中标明不同Ca:P目标；大型幼犬取更窄、更保守区间。</t>
  </si>
  <si>
    <t>幼犬/大型幼犬/成犬/老年犬B包</t>
  </si>
  <si>
    <t>不能仅靠B包百分比判断全配方Ca:P，必须算入肉类、内脏、鱼肉、蔬菜本底矿物。</t>
  </si>
  <si>
    <t>大型幼犬过量钙风险</t>
  </si>
  <si>
    <t>VCA指出大型/巨型幼犬需要不同的钙、磷和钙磷比，钙过量可能导致骨骼发育问题。</t>
  </si>
  <si>
    <t>大型幼犬B包与普通幼犬B包分开，不能混用。</t>
  </si>
  <si>
    <t>https://vcahospitals.com/know-your-pet/nutritional-requirements-of-large-and-giant-breed-puppies</t>
  </si>
  <si>
    <t>配方应配合喂食量控制，避免过度喂养。</t>
  </si>
  <si>
    <t>老年犬矿物负担</t>
  </si>
  <si>
    <t>维护期仍要满足全价最低营养，但老年犬健康状态差异较大。</t>
  </si>
  <si>
    <t>老年犬B包使用轻负担思路，但不做疾病处方宣称。</t>
  </si>
  <si>
    <t>肾病、心脏病、胰腺问题需另设处方型逻辑。</t>
  </si>
  <si>
    <t>需后续验证</t>
  </si>
  <si>
    <t>低敏B包</t>
  </si>
  <si>
    <t>低敏管理重在减少动物蛋白来源和交叉污染；矿物粉/油脂载体也需要可追溯。</t>
  </si>
  <si>
    <t>低敏B包改用低敏维矿、低敏钙源、藻油或高度精炼低敏油脂。</t>
  </si>
  <si>
    <t>内部配方原则；需供应商COA和过敏源声明</t>
  </si>
  <si>
    <t>不是治疗过敏；需生产线交叉污染控制。</t>
  </si>
  <si>
    <t>待供应链确认</t>
  </si>
  <si>
    <t>C包</t>
  </si>
  <si>
    <t>推荐应用</t>
  </si>
  <si>
    <t>AAFCO/法规定位</t>
  </si>
  <si>
    <t>产品话术建议</t>
  </si>
  <si>
    <t>风险控制</t>
  </si>
  <si>
    <t>参考来源</t>
  </si>
  <si>
    <t>肠胃敏感、换粮过渡、低敏系列</t>
  </si>
  <si>
    <t>FOS/菊粉0.4 + MOS/酵母细胞壁0.3 + 益生菌或后生元0.2 + 低敏载体0.1</t>
  </si>
  <si>
    <t>AAFCO关注完整均衡营养，不把益生菌/益生元作为必需营养；C包不能承担全价功能。</t>
  </si>
  <si>
    <t>支持消化健康、肠道菌群、粪便成形。</t>
  </si>
  <si>
    <t>不宣称治疗腹泻、IBD、胰腺炎；热加工产品优先后生元或后拌冻干益生菌；低敏款注意载体过敏源。</t>
  </si>
  <si>
    <t>https://www.aafco.org/consumers/understanding-pet-food/selecting-the-right-pet-food/ ; https://www.fda.gov/food/nutrition-food-labeling-and-critical-foods/structurefunction-claims</t>
  </si>
  <si>
    <t>大型犬、老年犬、关节保护目标</t>
  </si>
  <si>
    <t>葡萄糖胺盐酸盐0.6 + 硫酸软骨素0.4 + MSM0.3 + 透明质酸或UC-II微量载体0.2</t>
  </si>
  <si>
    <t>葡萄糖胺/软骨素/MSM不是AAFCO全价必需营养；属于功能强化。</t>
  </si>
  <si>
    <t>支持关节灵活性、软骨健康和日常活动。</t>
  </si>
  <si>
    <t>不宣称治疗关节炎、止痛或替代药物；幼犬生长期谨慎；需按供应商活性含量核算。</t>
  </si>
  <si>
    <t>https://www.aafco.org/ ; https://www.fda.gov/animal-veterinary/animal-foods-feeds/animal-food-labeling-and-pet-food-claims</t>
  </si>
  <si>
    <t>心脏健康关注、老年犬、鱼肉护心配方</t>
  </si>
  <si>
    <t>牛磺酸0.35 + L-肉碱0.25 + 辅酶Q10标准化原料0.1 + EPA-DHA浓缩油或藻油0.3</t>
  </si>
  <si>
    <t>AAFCO犬粮营养表不把牛磺酸列为必需最低量；C包是心肌代谢与脂肪酸支持。</t>
  </si>
  <si>
    <t>支持心脏健康和能量代谢。</t>
  </si>
  <si>
    <t>有心脏病风险或症状时提示遵医嘱；不宣称治疗心脏病、DCM或替代处方。</t>
  </si>
  <si>
    <t>https://www.fda.gov/animal-veterinary/animal-health-literacy/complete-and-balanced-pet-food ; https://www.fda.gov/animal-veterinary/animal-foods-feeds/animal-food-labeling-and-pet-food-claims</t>
  </si>
  <si>
    <t>老年犬、慢性炎症倾向、免疫支持</t>
  </si>
  <si>
    <t>酵母β-葡聚糖0.35 + 天然维生素E/混合生育酚0.25 + 蓝莓多酚/迷迭香提取物0.2 + 姜黄素标准化原料0.2</t>
  </si>
  <si>
    <t>维生素E属于AAFCO营养体系，β-葡聚糖/姜黄素等不是全价必需营养；C包只作功能支持。</t>
  </si>
  <si>
    <t>建议对外称“抗氧化免疫支持”，少用“抗炎治疗”表述。</t>
  </si>
  <si>
    <t>姜黄素/植物提取物需评估适口性、肠胃耐受、药物相互作用；第一版谨慎使用。</t>
  </si>
  <si>
    <t>C包总体原则</t>
  </si>
  <si>
    <t>所有C功能包</t>
  </si>
  <si>
    <t>C包通常1%–2%，不进入A包，不替代B包。</t>
  </si>
  <si>
    <t>AAFCO标准解决的是完整均衡营养和生命阶段匹配；功能包应以结构/功能口径表达。</t>
  </si>
  <si>
    <t>支持、维护、帮助保持；避免治疗、预防、治愈疾病等药品化表述。</t>
  </si>
  <si>
    <t>所有C包需验证供应商规格、活性含量、稳定性、热加工损耗、微生物、重金属、过敏源和法规宣称。</t>
  </si>
  <si>
    <t>https://www.fda.gov/animal-veterinary/fdas-regulation-pet-food</t>
  </si>
  <si>
    <t>动物性原料合计%</t>
  </si>
  <si>
    <t>主蛋白%</t>
  </si>
  <si>
    <t>内脏/副蛋白%</t>
  </si>
  <si>
    <t>肝脏估算%</t>
  </si>
  <si>
    <t>B包%</t>
  </si>
  <si>
    <t>C包%</t>
  </si>
  <si>
    <t>B包类型</t>
  </si>
  <si>
    <t>C包类型</t>
  </si>
  <si>
    <t>审查结论</t>
  </si>
  <si>
    <t>风险/复核点</t>
  </si>
  <si>
    <t>说明</t>
  </si>
  <si>
    <t>通过但需重点复核</t>
  </si>
  <si>
    <t>动物性原料接近/超过48%，需复核蛋白/磷/热量；肝脏比例9.7%偏高，需复核维A/铜；内脏/副蛋白22.3%偏高</t>
  </si>
  <si>
    <t>总体结论</t>
  </si>
  <si>
    <t>目前40个食谱的A/B/C结构方向基本合理，但不能直接宣称已通过AAFCO/FDA全价认证。需要用成品检测值按干物质和能量密度核算，或做AAFCO喂养试验。</t>
  </si>
  <si>
    <t>含肝脏8.0%，需关注维A/铜</t>
  </si>
  <si>
    <t>蛋白质判断</t>
  </si>
  <si>
    <t>动物性原料合计范围约 29.2%–53.3%，均值约 38.2%。按鲜食结构看，不属于明显异常高蛋白，但需检测干物质粗蛋白、磷、能量。</t>
  </si>
  <si>
    <t>对外建议改为抗氧化免疫支持，避免抗炎治疗表述</t>
  </si>
  <si>
    <t>结构通过数量</t>
  </si>
  <si>
    <t>21 个未发现明显结构性风险。</t>
  </si>
  <si>
    <t>结构通过，需营养检测后才能称全价</t>
  </si>
  <si>
    <t>未发现明显结构性风险；仍需实验室检测确认AAFCO全价</t>
  </si>
  <si>
    <t>重点复核数量</t>
  </si>
  <si>
    <t>19 个需要重点复核，主要集中在肝脏比例、动物性原料偏高、金枪鱼检测、菠菜比例和功能宣称。</t>
  </si>
  <si>
    <t>肝脏比例8.1%偏高，需复核维A/铜</t>
  </si>
  <si>
    <t>配方红线</t>
  </si>
  <si>
    <t>低敏系列保持单一动物蛋白；高端水产未进入基础A包；青豆已移出基础A包；B包根据生命阶段细化。</t>
  </si>
  <si>
    <t>动物性原料接近/超过48%，需复核蛋白/磷/热量；肝脏比例8.1%偏高，需复核维A/铜</t>
  </si>
  <si>
    <t>不能省略</t>
  </si>
  <si>
    <t>B包的维矿预混料、钙磷矿物粉、Omega-3油脂不能随意省略；C包不能替代B包。</t>
  </si>
  <si>
    <t>动物性原料接近/超过48%，需复核蛋白/磷/热量</t>
  </si>
  <si>
    <t>菠菜比例较高，需关注草酸盐和矿物平衡</t>
  </si>
  <si>
    <t>菠菜比例较高，需关注草酸盐和矿物平衡；心脏功能款不能宣称治疗心脏病/DCM</t>
  </si>
  <si>
    <t>金枪鱼比例较高，需重金属/组胺检测</t>
  </si>
  <si>
    <t>护肝功能款不能宣称治疗肝病</t>
  </si>
  <si>
    <t>菠菜比例较高，需关注草酸盐和矿物平衡；护肝功能款不能宣称治疗肝病</t>
  </si>
  <si>
    <t>肠胃健康支持功能包C（低敏版）</t>
  </si>
  <si>
    <t>模块</t>
  </si>
  <si>
    <t>必须完成项</t>
  </si>
  <si>
    <t>为什么重要</t>
  </si>
  <si>
    <t>通过标准</t>
  </si>
  <si>
    <t>状态建议</t>
  </si>
  <si>
    <t>参考/来源</t>
  </si>
  <si>
    <t>AAFCO全价核算</t>
  </si>
  <si>
    <t>每个生命阶段至少选择代表配方做完整营养检测：粗蛋白、粗脂肪、纤维、水分、灰分、Ca、P、Ca:P、Na/K/Cl/Mg、Fe/Cu/Zn/Mn/I/Se、维生素A/D/E/B族、脂肪酸等。</t>
  </si>
  <si>
    <t>AAFCO/FDA判断complete &amp; balanced不是看食材比例，而是看所有营养素是否达到相应生命阶段Profile，或通过喂养试验。</t>
  </si>
  <si>
    <t>检测值按干物质基础和每1000 kcal ME核算后，满足目标Profile。</t>
  </si>
  <si>
    <t>上市前必须完成</t>
  </si>
  <si>
    <t>FDA complete and balanced: https://www.fda.gov/animal-veterinary/animal-health-literacy/complete-and-balanced-pet-food</t>
  </si>
  <si>
    <t>干物质与能量校正</t>
  </si>
  <si>
    <t>鲜食含水量高，必须把as-fed检测结果换算为dry matter；若能量密度偏离4000 kcal ME/kg DM，还需要按能量校正。</t>
  </si>
  <si>
    <t>鲜食直接看标签蛋白会误判高低，AAFCO资料要求进行水分/能量校正。</t>
  </si>
  <si>
    <t>建立每个SKU的DM%、ME kcal/kg、g/1000 kcal表。</t>
  </si>
  <si>
    <t>AAFCO nutrient profile correction guidance: https://www.aafco.org/wp-content/uploads/2023/01/Model_Bills_and_Regulations_Agenda_Midyear_2015_Final_Attachment_A.__Proposed_revisions_to_AAFCO_Nutrient_Profiles_PFC_Final_070214.pdf</t>
  </si>
  <si>
    <t>大型幼犬控钙</t>
  </si>
  <si>
    <t>dog_recipe_011–015必须单独核算Ca、P、Ca:P，不能和幼犬通用共用普通成长B包。</t>
  </si>
  <si>
    <t>大型幼犬对钙过量更敏感，AAFCO对大型犬成长配方有更严格钙上限。</t>
  </si>
  <si>
    <t>Ca、P和Ca:P均在目标范围；标签明确适用对象。</t>
  </si>
  <si>
    <t>AAFCO large-size puppy calcium cap source as above</t>
  </si>
  <si>
    <t>蛋白/肾脏风险</t>
  </si>
  <si>
    <t>不要把健康犬的高蛋白等同于肾病风险；但老年犬/肾病犬应另做低磷、适度蛋白处方逻辑。</t>
  </si>
  <si>
    <t>肾病管理的核心不只是蛋白，还有磷、能量和个体病情。</t>
  </si>
  <si>
    <t>普通款不做肾病适用宣称；肾病犬提示咨询兽医。</t>
  </si>
  <si>
    <t>必须体现在标签/FAQ</t>
  </si>
  <si>
    <t>VCA CKD nutrition: https://vcahospitals.com/know-your-pet/nutrition-for-dogs-with-chronic-kidney-disease</t>
  </si>
  <si>
    <t>肝脏/内脏控制</t>
  </si>
  <si>
    <t>重点复核dog_recipe_001、002、005、006的肝脏/内脏水平。</t>
  </si>
  <si>
    <t>肝脏营养密度高，长期日粮需控制维生素A、铜等。</t>
  </si>
  <si>
    <t>通过检测确认维A、铜不超目标；必要时降低肝脏到5%–8%。</t>
  </si>
  <si>
    <t>建议优化</t>
  </si>
  <si>
    <t>内部营养审查</t>
  </si>
  <si>
    <t>金枪鱼/海洋原料安全</t>
  </si>
  <si>
    <t>金枪鱼款需做重金属、组胺、氧化指标和来源批次追溯。</t>
  </si>
  <si>
    <t>金枪鱼作为主蛋白时有重金属和组胺风险；鱼油也有氧化风险。</t>
  </si>
  <si>
    <t>每批COA；总汞、砷、铅、镉、组胺、过氧化值等合格。</t>
  </si>
  <si>
    <t>FDA pet food safety: https://www.fda.gov/animal-veterinary/animal-foods-feeds/pet-food</t>
  </si>
  <si>
    <t>豆类/DCM风险</t>
  </si>
  <si>
    <t>基础A包不使用青豆/豌豆/扁豆类高比例原料。</t>
  </si>
  <si>
    <t>FDA仍在研究非遗传性DCM与高比例豆类/脉冲类原料的关系，虽未认定豆类本身危险。</t>
  </si>
  <si>
    <t>配方前10位不出现高比例豆类；低敏款不使用豆类蛋白。</t>
  </si>
  <si>
    <t>已符合，持续保持</t>
  </si>
  <si>
    <t>FDA DCM Q&amp;A: https://www.fda.gov/animal-veterinary/animal-health-literacy/questions-answers-fdas-work-potential-causes-non-hereditary-dcm-dogs</t>
  </si>
  <si>
    <t>C包功能宣称</t>
  </si>
  <si>
    <t>美毛、护肝、关节、心脏、抗氧化免疫等都用“支持/维护/帮助保持”话术，避免治疗、预防、治愈疾病。</t>
  </si>
  <si>
    <t>FDA认为疾病治疗/预防/缓解相关表达可能让产品被视为动物药。</t>
  </si>
  <si>
    <t>包装、官网、电商详情页、客服话术都通过合规审查。</t>
  </si>
  <si>
    <t>FDA pet food claims: https://www.fda.gov/animal-veterinary/animal-foods-feeds/animal-food-labeling-and-pet-food-claims</t>
  </si>
  <si>
    <t>低敏交叉污染</t>
  </si>
  <si>
    <t>低敏A/B/C包的载体、油脂、产线和包装要控制过敏源交叉污染。</t>
  </si>
  <si>
    <t>单一蛋白不是只看配方表，还要看供应链和产线。</t>
  </si>
  <si>
    <t>有清线SOP、过敏源矩阵和批次记录。</t>
  </si>
  <si>
    <t>内部质量体系</t>
  </si>
  <si>
    <t>微生物与热加工</t>
  </si>
  <si>
    <t>鲜食或冷冻鲜食必须验证加热杀菌、冷却、包装、冷链和复热说明。</t>
  </si>
  <si>
    <t>FDA要求动物食品安全、卫生生产、不含有害物质、标签真实。</t>
  </si>
  <si>
    <t>成品微生物检测合格；工艺验证与留样制度建立。</t>
  </si>
  <si>
    <t>结论/建议</t>
  </si>
  <si>
    <t>执行口径</t>
  </si>
  <si>
    <t>健康犬是否需要担心高蛋白伤肾</t>
  </si>
  <si>
    <t>不能简单说“蛋白高就伤肾”。AAFCO没有给犬粮粗蛋白设置统一最高上限，只有最低要求；对健康犬，关键是蛋白质量、消化率、磷负担、能量密度和个体健康状态。</t>
  </si>
  <si>
    <t>包装和销售话术避免制造恐慌；不要把普通款宣传成肾脏保护款。</t>
  </si>
  <si>
    <t>老年犬是否一定低蛋白</t>
  </si>
  <si>
    <t>不一定。老年犬如果没有肾病，不应无依据地过度降蛋白；但要控制不必要的磷负担，并保证高质量蛋白。</t>
  </si>
  <si>
    <t>老年犬通用款维持轻负担B包；肾病犬另做兽医处方逻辑。</t>
  </si>
  <si>
    <t>肾病犬/慢病犬</t>
  </si>
  <si>
    <t>慢性肾病犬的饮食调整需要兽医指导。VCA资料指出，限制蛋白不总是必要，但在尿毒症等情况下可帮助减轻临床症状，并降低肾脏过滤负担。</t>
  </si>
  <si>
    <t>所有SKU标注：有肾病、心脏病、肝病、胰腺炎等慢病犬请咨询兽医。</t>
  </si>
  <si>
    <t>本40款蛋白结构判断</t>
  </si>
  <si>
    <t>动物性原料占比约29.2%–53.3%，从鲜食配方结构看多数在常见范围；但001、006、011、036动物性原料偏高或接近上限，需要重点检测粗蛋白、磷和能量。</t>
  </si>
  <si>
    <t>可把动物性原料目标区间定为成犬日常约30%–40%，幼犬约38%–45%，低敏单蛋白约40%–45%，特殊款不得超过50%除非检测通过。</t>
  </si>
  <si>
    <t>真正上市判定</t>
  </si>
  <si>
    <t>当前文件只能证明配方结构有合理性，不能替代实验室检测或AAFCO feeding trial。</t>
  </si>
  <si>
    <t>建立“配方结构审查 → 小试样 → 成品检测 → 干物质/能量核算 → 标签合规 → 稳定性/微生物验证”的上市门槛。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</si>
</sst>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4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4"/>
      <color rgb="FFFFFFFF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005B2E"/>
        <bgColor indexed="64"/>
      </patternFill>
    </fill>
    <fill>
      <patternFill patternType="solid">
        <fgColor rgb="FF005B2C"/>
        <bgColor indexed="64"/>
      </patternFill>
    </fill>
    <fill>
      <patternFill patternType="solid">
        <fgColor rgb="FFF8FFF0"/>
        <bgColor indexed="64"/>
      </patternFill>
    </fill>
    <fill>
      <patternFill patternType="solid">
        <fgColor rgb="FF005A2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2F7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4" fillId="18" borderId="6" applyNumberFormat="0" applyAlignment="0" applyProtection="0">
      <alignment vertical="center"/>
    </xf>
    <xf numFmtId="0" fontId="15" fillId="18" borderId="5" applyNumberFormat="0" applyAlignment="0" applyProtection="0">
      <alignment vertical="center"/>
    </xf>
    <xf numFmtId="0" fontId="16" fillId="1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0" fillId="0" borderId="0"/>
  </cellStyleXfs>
  <cellXfs count="23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top" wrapText="1"/>
    </xf>
    <xf numFmtId="0" fontId="1" fillId="2" borderId="0" xfId="49" applyNumberFormat="1" applyFont="1" applyFill="1" applyBorder="1" applyAlignment="1">
      <alignment horizontal="center" vertical="top" wrapText="1"/>
    </xf>
    <xf numFmtId="0" fontId="1" fillId="3" borderId="0" xfId="49" applyNumberFormat="1" applyFont="1" applyFill="1" applyBorder="1" applyAlignment="1">
      <alignment horizontal="center" vertical="center" wrapText="1"/>
    </xf>
    <xf numFmtId="0" fontId="0" fillId="4" borderId="1" xfId="49" applyNumberFormat="1" applyFont="1" applyFill="1" applyBorder="1" applyAlignment="1">
      <alignment vertical="top" wrapText="1"/>
    </xf>
    <xf numFmtId="0" fontId="1" fillId="5" borderId="0" xfId="49" applyNumberFormat="1" applyFont="1" applyFill="1" applyBorder="1" applyAlignment="1">
      <alignment horizontal="center" vertical="center" wrapText="1"/>
    </xf>
    <xf numFmtId="0" fontId="0" fillId="6" borderId="1" xfId="49" applyNumberFormat="1" applyFont="1" applyFill="1" applyBorder="1" applyAlignment="1">
      <alignment vertical="top" wrapText="1"/>
    </xf>
    <xf numFmtId="0" fontId="0" fillId="0" borderId="1" xfId="49" applyBorder="1"/>
    <xf numFmtId="0" fontId="0" fillId="7" borderId="0" xfId="49" applyNumberFormat="1" applyFont="1" applyFill="1" applyBorder="1" applyAlignment="1">
      <alignment vertical="top" wrapText="1"/>
    </xf>
    <xf numFmtId="0" fontId="0" fillId="4" borderId="0" xfId="49" applyNumberFormat="1" applyFont="1" applyFill="1" applyBorder="1" applyAlignment="1">
      <alignment vertical="top" wrapText="1"/>
    </xf>
    <xf numFmtId="0" fontId="0" fillId="8" borderId="0" xfId="49" applyFill="1"/>
    <xf numFmtId="0" fontId="0" fillId="9" borderId="0" xfId="49" applyNumberFormat="1" applyFont="1" applyFill="1" applyBorder="1" applyAlignment="1">
      <alignment vertical="top" wrapText="1"/>
    </xf>
    <xf numFmtId="176" fontId="0" fillId="10" borderId="0" xfId="49" applyNumberFormat="1" applyFont="1" applyFill="1" applyBorder="1" applyAlignment="1">
      <alignment vertical="top" wrapText="1"/>
    </xf>
    <xf numFmtId="0" fontId="0" fillId="11" borderId="0" xfId="49" applyNumberFormat="1" applyFont="1" applyFill="1" applyBorder="1" applyAlignment="1">
      <alignment vertical="top" wrapText="1"/>
    </xf>
    <xf numFmtId="176" fontId="0" fillId="12" borderId="0" xfId="49" applyNumberFormat="1" applyFont="1" applyFill="1" applyBorder="1" applyAlignment="1">
      <alignment vertical="top" wrapText="1"/>
    </xf>
    <xf numFmtId="0" fontId="0" fillId="13" borderId="0" xfId="49" applyNumberFormat="1" applyFont="1" applyFill="1" applyBorder="1" applyAlignment="1">
      <alignment vertical="top" wrapText="1"/>
    </xf>
    <xf numFmtId="176" fontId="0" fillId="14" borderId="0" xfId="49" applyNumberFormat="1" applyFont="1" applyFill="1" applyBorder="1" applyAlignment="1">
      <alignment vertical="top" wrapText="1"/>
    </xf>
    <xf numFmtId="0" fontId="0" fillId="8" borderId="0" xfId="49" applyNumberFormat="1" applyFont="1" applyFill="1" applyBorder="1" applyAlignment="1">
      <alignment vertical="top" wrapText="1"/>
    </xf>
    <xf numFmtId="0" fontId="2" fillId="2" borderId="0" xfId="49" applyNumberFormat="1" applyFont="1" applyFill="1" applyAlignment="1">
      <alignment horizontal="center" vertical="center"/>
    </xf>
    <xf numFmtId="0" fontId="1" fillId="15" borderId="0" xfId="49" applyNumberFormat="1" applyFont="1" applyFill="1" applyBorder="1" applyAlignment="1">
      <alignment horizontal="center" vertical="center" wrapText="1"/>
    </xf>
    <xf numFmtId="0" fontId="3" fillId="4" borderId="0" xfId="49" applyNumberFormat="1" applyFont="1" applyFill="1" applyBorder="1" applyAlignment="1">
      <alignment wrapText="1"/>
    </xf>
    <xf numFmtId="0" fontId="0" fillId="4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5">
    <dxf>
      <fill>
        <patternFill patternType="solid">
          <bgColor rgb="FFE6F4EA"/>
        </patternFill>
      </fill>
    </dxf>
    <dxf>
      <fill>
        <patternFill patternType="solid">
          <bgColor rgb="FFFFF7D6"/>
        </patternFill>
      </fill>
    </dxf>
    <dxf>
      <fill>
        <patternFill patternType="solid">
          <bgColor theme="0"/>
        </patternFill>
      </fill>
      <border>
        <diagonal/>
      </border>
    </dxf>
    <dxf>
      <fill>
        <patternFill patternType="solid">
          <bgColor theme="0"/>
        </patternFill>
      </fill>
      <border>
        <diagonal/>
      </border>
    </dxf>
    <dxf>
      <fill>
        <patternFill patternType="solid">
          <bgColor theme="0"/>
        </patternFill>
      </fill>
      <border>
        <diagonal/>
      </border>
    </dxf>
    <dxf>
      <fill>
        <patternFill patternType="solid">
          <bgColor theme="0"/>
        </patternFill>
      </fill>
      <border>
        <diagonal/>
      </border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PivotStylePreset2_Accent1" table="0" count="10" xr9:uid="{267968C8-6FFD-4C36-ACC1-9EA1FD1885CA}">
      <tableStyleElement type="headerRow" dxfId="24"/>
      <tableStyleElement type="totalRow" dxfId="23"/>
      <tableStyleElement type="firstRowStripe" dxfId="22"/>
      <tableStyleElement type="firstColumnStripe" dxfId="21"/>
      <tableStyleElement type="firstSubtotalRow" dxfId="20"/>
      <tableStyleElement type="second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RecipesABCOptimized" displayName="RecipesABCOptimized" ref="A1:R41">
  <sortState ref="A2:R41">
    <sortCondition ref="B1"/>
  </sortState>
  <tableColumns count="18">
    <tableColumn id="1" name="recipe_id"/>
    <tableColumn id="4" name="产品化大类"/>
    <tableColumn id="6" name="新版配方名称"/>
    <tableColumn id="8" name="A包合计%"/>
    <tableColumn id="9" name="A包-肉/鱼主蛋白%"/>
    <tableColumn id="10" name="A包-内脏/副蛋白%"/>
    <tableColumn id="11" name="A包-果蔬%"/>
    <tableColumn id="12" name="A包-碳水/主食%"/>
    <tableColumn id="13" name="A包明细"/>
    <tableColumn id="14" name="B包合计%"/>
    <tableColumn id="15" name="B包明细"/>
    <tableColumn id="16" name="C包合计%"/>
    <tableColumn id="17" name="C包明细"/>
    <tableColumn id="18" name="总计%"/>
    <tableColumn id="19" name="动物蛋白结构"/>
    <tableColumn id="20" name="是否牛+鸡同餐"/>
    <tableColumn id="21" name="低敏/单一蛋白检查"/>
    <tableColumn id="23" name="调整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CPackDefinition" displayName="BCPackDefinition" ref="A1:F10">
  <tableColumns count="6">
    <tableColumn id="1" name="包型"/>
    <tableColumn id="2" name="适用范围"/>
    <tableColumn id="3" name="建议明细"/>
    <tableColumn id="4" name="建议合计%"/>
    <tableColumn id="5" name="是否进入A包"/>
    <tableColumn id="6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PackWhitelist" displayName="APackWhitelist" ref="A1:E27">
  <tableColumns count="5">
    <tableColumn id="1" name="物料"/>
    <tableColumn id="2" name="分类"/>
    <tableColumn id="3" name="基础40个A包使用状态"/>
    <tableColumn id="4" name="替代/处理方式"/>
    <tableColumn id="5" name="原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remiumMaterialPool" displayName="PremiumMaterialPool" ref="A1:F6">
  <tableColumns count="6">
    <tableColumn id="1" name="物料"/>
    <tableColumn id="2" name="是否进入基础40个A包"/>
    <tableColumn id="3" name="推荐定位"/>
    <tableColumn id="4" name="推荐包型/SKU"/>
    <tableColumn id="5" name="适合卖点"/>
    <tableColumn id="6" name="注意事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ategoryMergeRules" displayName="CategoryMergeRules" ref="A1:F9">
  <tableColumns count="6">
    <tableColumn id="1" name="原类别"/>
    <tableColumn id="2" name="新版产品化大类"/>
    <tableColumn id="3" name="是否合并"/>
    <tableColumn id="4" name="A包策略"/>
    <tableColumn id="5" name="B包策略"/>
    <tableColumn id="6" name="备注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hangeLog" displayName="ChangeLog" ref="A1:D2">
  <tableColumns count="4">
    <tableColumn id="1" name="变更点" dataDxfId="2"/>
    <tableColumn id="2" name="涉及食谱/物料" dataDxfId="3"/>
    <tableColumn id="3" name="处理方式" dataDxfId="4"/>
    <tableColumn id="4" name="原因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workbookViewId="0">
      <selection activeCell="D8" sqref="D8"/>
    </sheetView>
  </sheetViews>
  <sheetFormatPr defaultColWidth="9" defaultRowHeight="16.8" outlineLevelCol="1"/>
  <cols>
    <col min="1" max="1" width="18" customWidth="1"/>
    <col min="2" max="2" width="136.147058823529" customWidth="1"/>
  </cols>
  <sheetData>
    <row r="1" ht="50" customHeight="1" spans="1:2">
      <c r="A1" s="19" t="s">
        <v>0</v>
      </c>
      <c r="B1" s="19"/>
    </row>
    <row r="2" ht="34" customHeight="1" spans="1:2">
      <c r="A2" s="20" t="s">
        <v>1</v>
      </c>
      <c r="B2" s="2" t="s">
        <v>2</v>
      </c>
    </row>
    <row r="3" ht="34" customHeight="1" spans="1:2">
      <c r="A3" s="20" t="s">
        <v>3</v>
      </c>
      <c r="B3" s="2" t="s">
        <v>4</v>
      </c>
    </row>
    <row r="4" ht="34" customHeight="1" spans="1:2">
      <c r="A4" s="20" t="s">
        <v>5</v>
      </c>
      <c r="B4" s="2" t="s">
        <v>6</v>
      </c>
    </row>
    <row r="5" ht="34" customHeight="1" spans="1:2">
      <c r="A5" s="20" t="s">
        <v>7</v>
      </c>
      <c r="B5" s="2" t="s">
        <v>8</v>
      </c>
    </row>
    <row r="6" ht="34" customHeight="1" spans="1:2">
      <c r="A6" s="20" t="s">
        <v>9</v>
      </c>
      <c r="B6" s="2" t="s">
        <v>10</v>
      </c>
    </row>
    <row r="7" ht="34" customHeight="1" spans="1:2">
      <c r="A7" s="20" t="s">
        <v>11</v>
      </c>
      <c r="B7" s="2" t="s">
        <v>12</v>
      </c>
    </row>
    <row r="8" ht="34" customHeight="1" spans="1:2">
      <c r="A8" s="20" t="s">
        <v>13</v>
      </c>
      <c r="B8" s="2" t="s">
        <v>14</v>
      </c>
    </row>
    <row r="9" ht="34" customHeight="1" spans="1:2">
      <c r="A9" s="20" t="s">
        <v>15</v>
      </c>
      <c r="B9" s="2" t="s">
        <v>16</v>
      </c>
    </row>
    <row r="10" ht="34" customHeight="1" spans="1:2">
      <c r="A10" s="20" t="s">
        <v>17</v>
      </c>
      <c r="B10" s="2" t="s">
        <v>18</v>
      </c>
    </row>
    <row r="11" ht="34" customHeight="1" spans="1:2">
      <c r="A11" s="20" t="s">
        <v>19</v>
      </c>
      <c r="B11" s="2" t="s">
        <v>20</v>
      </c>
    </row>
    <row r="12" ht="34" customHeight="1" spans="1:2">
      <c r="A12" s="20" t="s">
        <v>21</v>
      </c>
      <c r="B12" s="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ht="17" spans="1:2">
      <c r="A19" s="21" t="s">
        <v>35</v>
      </c>
      <c r="B19" s="22" t="s">
        <v>36</v>
      </c>
    </row>
    <row r="20" ht="17" spans="1:2">
      <c r="A20" s="21" t="s">
        <v>37</v>
      </c>
      <c r="B20" s="22" t="s">
        <v>38</v>
      </c>
    </row>
    <row r="21" ht="17" spans="1:2">
      <c r="A21" s="21" t="s">
        <v>39</v>
      </c>
      <c r="B21" s="22" t="s">
        <v>40</v>
      </c>
    </row>
    <row r="22" ht="17" spans="1:2">
      <c r="A22" s="21" t="s">
        <v>41</v>
      </c>
      <c r="B22" s="22" t="s">
        <v>42</v>
      </c>
    </row>
    <row r="23" ht="17" spans="1:2">
      <c r="A23" s="21" t="s">
        <v>43</v>
      </c>
      <c r="B23" s="22" t="s">
        <v>44</v>
      </c>
    </row>
    <row r="24" ht="17" spans="1:2">
      <c r="A24" s="21" t="s">
        <v>45</v>
      </c>
      <c r="B24" s="22" t="s">
        <v>46</v>
      </c>
    </row>
  </sheetData>
  <mergeCells count="1">
    <mergeCell ref="A1:B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1"/>
  <sheetViews>
    <sheetView tabSelected="1" workbookViewId="0">
      <selection activeCell="I3" sqref="I3"/>
    </sheetView>
  </sheetViews>
  <sheetFormatPr defaultColWidth="9" defaultRowHeight="16.8"/>
  <cols>
    <col min="1" max="1" width="7.10294117647059" customWidth="1"/>
    <col min="2" max="2" width="10.4117647058824" customWidth="1"/>
    <col min="3" max="3" width="13.7205882352941" customWidth="1"/>
    <col min="4" max="4" width="7.96323529411765" customWidth="1"/>
    <col min="5" max="8" width="5.27205882352941" customWidth="1"/>
    <col min="9" max="9" width="24.3823529411765" customWidth="1"/>
    <col min="10" max="10" width="8.33088235294118" customWidth="1"/>
    <col min="11" max="11" width="32.7941176470588" customWidth="1"/>
    <col min="12" max="12" width="10.9044117647059" customWidth="1"/>
    <col min="13" max="13" width="19.8529411764706" customWidth="1"/>
    <col min="14" max="14" width="9.42647058823529" customWidth="1"/>
    <col min="15" max="15" width="28" hidden="1" customWidth="1"/>
    <col min="16" max="16" width="12" hidden="1" customWidth="1"/>
    <col min="17" max="17" width="28" hidden="1" customWidth="1"/>
    <col min="18" max="18" width="70" hidden="1" customWidth="1"/>
  </cols>
  <sheetData>
    <row r="1" ht="68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</row>
    <row r="2" s="11" customFormat="1" ht="51" spans="1:18">
      <c r="A2" s="12" t="s">
        <v>65</v>
      </c>
      <c r="B2" s="12" t="s">
        <v>66</v>
      </c>
      <c r="C2" s="12" t="s">
        <v>67</v>
      </c>
      <c r="D2" s="13">
        <v>96</v>
      </c>
      <c r="E2" s="13">
        <v>34.6</v>
      </c>
      <c r="F2" s="13">
        <v>0</v>
      </c>
      <c r="G2" s="13">
        <v>46.6</v>
      </c>
      <c r="H2" s="13">
        <v>14.8</v>
      </c>
      <c r="I2" s="12" t="s">
        <v>68</v>
      </c>
      <c r="J2" s="13">
        <v>4</v>
      </c>
      <c r="K2" s="12" t="s">
        <v>69</v>
      </c>
      <c r="L2" s="13">
        <v>0</v>
      </c>
      <c r="M2" s="12" t="s">
        <v>70</v>
      </c>
      <c r="N2" s="13">
        <f>D2+J2+L2</f>
        <v>100</v>
      </c>
      <c r="O2" s="18" t="s">
        <v>71</v>
      </c>
      <c r="P2" s="18" t="s">
        <v>72</v>
      </c>
      <c r="Q2" s="18" t="s">
        <v>73</v>
      </c>
      <c r="R2" s="18" t="s">
        <v>74</v>
      </c>
    </row>
    <row r="3" s="11" customFormat="1" ht="51" spans="1:18">
      <c r="A3" s="12" t="s">
        <v>75</v>
      </c>
      <c r="B3" s="12" t="s">
        <v>66</v>
      </c>
      <c r="C3" s="12" t="s">
        <v>76</v>
      </c>
      <c r="D3" s="13">
        <v>96</v>
      </c>
      <c r="E3" s="13">
        <v>35.4</v>
      </c>
      <c r="F3" s="13">
        <v>0</v>
      </c>
      <c r="G3" s="13">
        <v>35.3</v>
      </c>
      <c r="H3" s="13">
        <v>25.3</v>
      </c>
      <c r="I3" s="12" t="s">
        <v>77</v>
      </c>
      <c r="J3" s="13">
        <v>4</v>
      </c>
      <c r="K3" s="12" t="s">
        <v>69</v>
      </c>
      <c r="L3" s="13">
        <v>0</v>
      </c>
      <c r="M3" s="12" t="s">
        <v>70</v>
      </c>
      <c r="N3" s="13">
        <f>D3+J3+L3</f>
        <v>100</v>
      </c>
      <c r="O3" s="18" t="s">
        <v>71</v>
      </c>
      <c r="P3" s="18" t="s">
        <v>72</v>
      </c>
      <c r="Q3" s="18" t="s">
        <v>73</v>
      </c>
      <c r="R3" s="18" t="s">
        <v>78</v>
      </c>
    </row>
    <row r="4" s="11" customFormat="1" ht="51" spans="1:18">
      <c r="A4" s="12" t="s">
        <v>79</v>
      </c>
      <c r="B4" s="12" t="s">
        <v>66</v>
      </c>
      <c r="C4" s="12" t="s">
        <v>80</v>
      </c>
      <c r="D4" s="13">
        <v>96</v>
      </c>
      <c r="E4" s="13">
        <v>30.3</v>
      </c>
      <c r="F4" s="13">
        <v>0</v>
      </c>
      <c r="G4" s="13">
        <v>30.3</v>
      </c>
      <c r="H4" s="13">
        <v>35.4</v>
      </c>
      <c r="I4" s="12" t="s">
        <v>81</v>
      </c>
      <c r="J4" s="13">
        <v>4</v>
      </c>
      <c r="K4" s="12" t="s">
        <v>69</v>
      </c>
      <c r="L4" s="13">
        <v>0</v>
      </c>
      <c r="M4" s="12" t="s">
        <v>70</v>
      </c>
      <c r="N4" s="13">
        <f>D4+J4+L4</f>
        <v>100</v>
      </c>
      <c r="O4" s="18" t="s">
        <v>82</v>
      </c>
      <c r="P4" s="18" t="s">
        <v>72</v>
      </c>
      <c r="Q4" s="18" t="s">
        <v>73</v>
      </c>
      <c r="R4" s="18" t="s">
        <v>83</v>
      </c>
    </row>
    <row r="5" s="11" customFormat="1" ht="51" spans="1:18">
      <c r="A5" s="12" t="s">
        <v>84</v>
      </c>
      <c r="B5" s="12" t="s">
        <v>66</v>
      </c>
      <c r="C5" s="12" t="s">
        <v>85</v>
      </c>
      <c r="D5" s="13">
        <v>96</v>
      </c>
      <c r="E5" s="13">
        <v>29.4</v>
      </c>
      <c r="F5" s="13">
        <v>6</v>
      </c>
      <c r="G5" s="13">
        <v>25.2</v>
      </c>
      <c r="H5" s="13">
        <v>35.4</v>
      </c>
      <c r="I5" s="12" t="s">
        <v>86</v>
      </c>
      <c r="J5" s="13">
        <v>4</v>
      </c>
      <c r="K5" s="12" t="s">
        <v>69</v>
      </c>
      <c r="L5" s="13">
        <v>0</v>
      </c>
      <c r="M5" s="12" t="s">
        <v>70</v>
      </c>
      <c r="N5" s="13">
        <f>D5+J5+L5</f>
        <v>100</v>
      </c>
      <c r="O5" s="18" t="s">
        <v>87</v>
      </c>
      <c r="P5" s="18" t="s">
        <v>72</v>
      </c>
      <c r="Q5" s="18" t="s">
        <v>73</v>
      </c>
      <c r="R5" s="18" t="s">
        <v>88</v>
      </c>
    </row>
    <row r="6" s="11" customFormat="1" ht="51" spans="1:18">
      <c r="A6" s="12" t="s">
        <v>89</v>
      </c>
      <c r="B6" s="12" t="s">
        <v>66</v>
      </c>
      <c r="C6" s="12" t="s">
        <v>90</v>
      </c>
      <c r="D6" s="13">
        <v>96</v>
      </c>
      <c r="E6" s="13">
        <v>34.6</v>
      </c>
      <c r="F6" s="13">
        <v>0</v>
      </c>
      <c r="G6" s="13">
        <v>46.6</v>
      </c>
      <c r="H6" s="13">
        <v>14.8</v>
      </c>
      <c r="I6" s="12" t="s">
        <v>91</v>
      </c>
      <c r="J6" s="13">
        <v>4</v>
      </c>
      <c r="K6" s="12" t="s">
        <v>69</v>
      </c>
      <c r="L6" s="13">
        <v>0</v>
      </c>
      <c r="M6" s="12" t="s">
        <v>70</v>
      </c>
      <c r="N6" s="13">
        <f>D6+J6+L6</f>
        <v>100</v>
      </c>
      <c r="O6" s="18" t="s">
        <v>92</v>
      </c>
      <c r="P6" s="18" t="s">
        <v>72</v>
      </c>
      <c r="Q6" s="18" t="s">
        <v>73</v>
      </c>
      <c r="R6" s="18" t="s">
        <v>93</v>
      </c>
    </row>
    <row r="7" ht="58" customHeight="1" spans="1:18">
      <c r="A7" s="14" t="s">
        <v>94</v>
      </c>
      <c r="B7" s="14" t="s">
        <v>95</v>
      </c>
      <c r="C7" s="14" t="s">
        <v>96</v>
      </c>
      <c r="D7" s="15">
        <v>94.5</v>
      </c>
      <c r="E7" s="15">
        <v>29.2</v>
      </c>
      <c r="F7" s="15">
        <v>0</v>
      </c>
      <c r="G7" s="15">
        <v>50.7</v>
      </c>
      <c r="H7" s="15">
        <v>14.6</v>
      </c>
      <c r="I7" s="14" t="s">
        <v>97</v>
      </c>
      <c r="J7" s="15">
        <v>4</v>
      </c>
      <c r="K7" s="14" t="s">
        <v>98</v>
      </c>
      <c r="L7" s="15">
        <v>1.5</v>
      </c>
      <c r="M7" s="14" t="s">
        <v>99</v>
      </c>
      <c r="N7" s="15">
        <f>D7+J7+L7</f>
        <v>100</v>
      </c>
      <c r="O7" s="2" t="s">
        <v>71</v>
      </c>
      <c r="P7" s="2" t="s">
        <v>72</v>
      </c>
      <c r="Q7" s="2" t="s">
        <v>73</v>
      </c>
      <c r="R7" s="2" t="s">
        <v>100</v>
      </c>
    </row>
    <row r="8" ht="58" customHeight="1" spans="1:18">
      <c r="A8" s="14" t="s">
        <v>101</v>
      </c>
      <c r="B8" s="14" t="s">
        <v>95</v>
      </c>
      <c r="C8" s="14" t="s">
        <v>102</v>
      </c>
      <c r="D8" s="15">
        <v>96</v>
      </c>
      <c r="E8" s="15">
        <v>29.7</v>
      </c>
      <c r="F8" s="15">
        <v>0</v>
      </c>
      <c r="G8" s="15">
        <v>56.4</v>
      </c>
      <c r="H8" s="15">
        <v>9.9</v>
      </c>
      <c r="I8" s="14" t="s">
        <v>103</v>
      </c>
      <c r="J8" s="15">
        <v>4</v>
      </c>
      <c r="K8" s="14" t="s">
        <v>98</v>
      </c>
      <c r="L8" s="15">
        <v>0</v>
      </c>
      <c r="M8" s="14" t="s">
        <v>70</v>
      </c>
      <c r="N8" s="15">
        <f>D8+J8+L8</f>
        <v>100</v>
      </c>
      <c r="O8" s="2" t="s">
        <v>71</v>
      </c>
      <c r="P8" s="2" t="s">
        <v>72</v>
      </c>
      <c r="Q8" s="2" t="s">
        <v>73</v>
      </c>
      <c r="R8" s="2" t="s">
        <v>104</v>
      </c>
    </row>
    <row r="9" ht="58" customHeight="1" spans="1:18">
      <c r="A9" s="14" t="s">
        <v>105</v>
      </c>
      <c r="B9" s="14" t="s">
        <v>95</v>
      </c>
      <c r="C9" s="14" t="s">
        <v>106</v>
      </c>
      <c r="D9" s="15">
        <v>95</v>
      </c>
      <c r="E9" s="15">
        <v>30</v>
      </c>
      <c r="F9" s="15">
        <v>0</v>
      </c>
      <c r="G9" s="15">
        <v>30</v>
      </c>
      <c r="H9" s="15">
        <v>35</v>
      </c>
      <c r="I9" s="14" t="s">
        <v>107</v>
      </c>
      <c r="J9" s="15">
        <v>4</v>
      </c>
      <c r="K9" s="14" t="s">
        <v>98</v>
      </c>
      <c r="L9" s="15">
        <v>1</v>
      </c>
      <c r="M9" s="14" t="s">
        <v>108</v>
      </c>
      <c r="N9" s="15">
        <f>D9+J9+L9</f>
        <v>100</v>
      </c>
      <c r="O9" s="2" t="s">
        <v>82</v>
      </c>
      <c r="P9" s="2" t="s">
        <v>72</v>
      </c>
      <c r="Q9" s="2" t="s">
        <v>73</v>
      </c>
      <c r="R9" s="2" t="s">
        <v>109</v>
      </c>
    </row>
    <row r="10" ht="51" spans="1:18">
      <c r="A10" s="14" t="s">
        <v>110</v>
      </c>
      <c r="B10" s="14" t="s">
        <v>95</v>
      </c>
      <c r="C10" s="14" t="s">
        <v>111</v>
      </c>
      <c r="D10" s="15">
        <v>96</v>
      </c>
      <c r="E10" s="15">
        <v>24.3</v>
      </c>
      <c r="F10" s="15">
        <v>6</v>
      </c>
      <c r="G10" s="15">
        <v>30.3</v>
      </c>
      <c r="H10" s="15">
        <v>35.4</v>
      </c>
      <c r="I10" s="14" t="s">
        <v>112</v>
      </c>
      <c r="J10" s="15">
        <v>4</v>
      </c>
      <c r="K10" s="14" t="s">
        <v>98</v>
      </c>
      <c r="L10" s="15">
        <v>0</v>
      </c>
      <c r="M10" s="14" t="s">
        <v>70</v>
      </c>
      <c r="N10" s="15">
        <f>D10+J10+L10</f>
        <v>100</v>
      </c>
      <c r="O10" s="2" t="s">
        <v>87</v>
      </c>
      <c r="P10" s="2" t="s">
        <v>72</v>
      </c>
      <c r="Q10" s="2" t="s">
        <v>73</v>
      </c>
      <c r="R10" s="2" t="s">
        <v>113</v>
      </c>
    </row>
    <row r="11" ht="58" customHeight="1" spans="1:18">
      <c r="A11" s="14" t="s">
        <v>114</v>
      </c>
      <c r="B11" s="14" t="s">
        <v>95</v>
      </c>
      <c r="C11" s="14" t="s">
        <v>115</v>
      </c>
      <c r="D11" s="15">
        <v>96</v>
      </c>
      <c r="E11" s="15">
        <v>30.3</v>
      </c>
      <c r="F11" s="15">
        <v>0</v>
      </c>
      <c r="G11" s="15">
        <v>30.3</v>
      </c>
      <c r="H11" s="15">
        <v>35.4</v>
      </c>
      <c r="I11" s="14" t="s">
        <v>116</v>
      </c>
      <c r="J11" s="15">
        <v>4</v>
      </c>
      <c r="K11" s="14" t="s">
        <v>98</v>
      </c>
      <c r="L11" s="15">
        <v>0</v>
      </c>
      <c r="M11" s="14" t="s">
        <v>70</v>
      </c>
      <c r="N11" s="15">
        <f>D11+J11+L11</f>
        <v>100</v>
      </c>
      <c r="O11" s="2" t="s">
        <v>92</v>
      </c>
      <c r="P11" s="2" t="s">
        <v>72</v>
      </c>
      <c r="Q11" s="2" t="s">
        <v>73</v>
      </c>
      <c r="R11" s="2" t="s">
        <v>117</v>
      </c>
    </row>
    <row r="12" ht="68" spans="1:18">
      <c r="A12" s="12" t="s">
        <v>118</v>
      </c>
      <c r="B12" s="12" t="s">
        <v>119</v>
      </c>
      <c r="C12" s="12" t="s">
        <v>120</v>
      </c>
      <c r="D12" s="13">
        <v>95</v>
      </c>
      <c r="E12" s="13">
        <v>45</v>
      </c>
      <c r="F12" s="13">
        <v>0</v>
      </c>
      <c r="G12" s="13">
        <v>15</v>
      </c>
      <c r="H12" s="13">
        <v>35</v>
      </c>
      <c r="I12" s="12" t="s">
        <v>121</v>
      </c>
      <c r="J12" s="13">
        <v>4</v>
      </c>
      <c r="K12" s="12" t="s">
        <v>122</v>
      </c>
      <c r="L12" s="13">
        <v>1</v>
      </c>
      <c r="M12" s="12" t="s">
        <v>123</v>
      </c>
      <c r="N12" s="13">
        <f>D12+J12+L12</f>
        <v>100</v>
      </c>
      <c r="O12" s="2" t="s">
        <v>124</v>
      </c>
      <c r="P12" s="2" t="s">
        <v>72</v>
      </c>
      <c r="Q12" s="2" t="s">
        <v>125</v>
      </c>
      <c r="R12" s="2" t="s">
        <v>126</v>
      </c>
    </row>
    <row r="13" ht="68" spans="1:18">
      <c r="A13" s="12" t="s">
        <v>127</v>
      </c>
      <c r="B13" s="12" t="s">
        <v>119</v>
      </c>
      <c r="C13" s="12" t="s">
        <v>128</v>
      </c>
      <c r="D13" s="13">
        <v>95</v>
      </c>
      <c r="E13" s="13">
        <v>45</v>
      </c>
      <c r="F13" s="13">
        <v>0</v>
      </c>
      <c r="G13" s="13">
        <v>15</v>
      </c>
      <c r="H13" s="13">
        <v>35</v>
      </c>
      <c r="I13" s="12" t="s">
        <v>129</v>
      </c>
      <c r="J13" s="13">
        <v>4</v>
      </c>
      <c r="K13" s="12" t="s">
        <v>122</v>
      </c>
      <c r="L13" s="13">
        <v>1</v>
      </c>
      <c r="M13" s="12" t="s">
        <v>123</v>
      </c>
      <c r="N13" s="13">
        <f>D13+J13+L13</f>
        <v>100</v>
      </c>
      <c r="O13" s="2" t="s">
        <v>130</v>
      </c>
      <c r="P13" s="2" t="s">
        <v>72</v>
      </c>
      <c r="Q13" s="2" t="s">
        <v>125</v>
      </c>
      <c r="R13" s="2" t="s">
        <v>131</v>
      </c>
    </row>
    <row r="14" ht="58" customHeight="1" spans="1:18">
      <c r="A14" s="12" t="s">
        <v>132</v>
      </c>
      <c r="B14" s="12" t="s">
        <v>119</v>
      </c>
      <c r="C14" s="12" t="s">
        <v>133</v>
      </c>
      <c r="D14" s="13">
        <v>95</v>
      </c>
      <c r="E14" s="13">
        <v>49</v>
      </c>
      <c r="F14" s="13">
        <v>0</v>
      </c>
      <c r="G14" s="13">
        <v>21.5</v>
      </c>
      <c r="H14" s="13">
        <v>24.5</v>
      </c>
      <c r="I14" s="12" t="s">
        <v>134</v>
      </c>
      <c r="J14" s="13">
        <v>4</v>
      </c>
      <c r="K14" s="12" t="s">
        <v>122</v>
      </c>
      <c r="L14" s="13">
        <v>1</v>
      </c>
      <c r="M14" s="12" t="s">
        <v>123</v>
      </c>
      <c r="N14" s="13">
        <f>D14+J14+L14</f>
        <v>100</v>
      </c>
      <c r="O14" s="2" t="s">
        <v>130</v>
      </c>
      <c r="P14" s="2" t="s">
        <v>72</v>
      </c>
      <c r="Q14" s="2" t="s">
        <v>125</v>
      </c>
      <c r="R14" s="2" t="s">
        <v>135</v>
      </c>
    </row>
    <row r="15" ht="58" customHeight="1" spans="1:18">
      <c r="A15" s="12" t="s">
        <v>136</v>
      </c>
      <c r="B15" s="12" t="s">
        <v>119</v>
      </c>
      <c r="C15" s="12" t="s">
        <v>137</v>
      </c>
      <c r="D15" s="13">
        <v>95</v>
      </c>
      <c r="E15" s="13">
        <v>45</v>
      </c>
      <c r="F15" s="13">
        <v>0</v>
      </c>
      <c r="G15" s="13">
        <v>40</v>
      </c>
      <c r="H15" s="13">
        <v>10</v>
      </c>
      <c r="I15" s="12" t="s">
        <v>138</v>
      </c>
      <c r="J15" s="13">
        <v>4</v>
      </c>
      <c r="K15" s="12" t="s">
        <v>122</v>
      </c>
      <c r="L15" s="13">
        <v>1</v>
      </c>
      <c r="M15" s="12" t="s">
        <v>123</v>
      </c>
      <c r="N15" s="13">
        <f>D15+J15+L15</f>
        <v>100</v>
      </c>
      <c r="O15" s="2" t="s">
        <v>139</v>
      </c>
      <c r="P15" s="2" t="s">
        <v>72</v>
      </c>
      <c r="Q15" s="2" t="s">
        <v>125</v>
      </c>
      <c r="R15" s="2" t="s">
        <v>140</v>
      </c>
    </row>
    <row r="16" ht="58" customHeight="1" spans="1:18">
      <c r="A16" s="12" t="s">
        <v>141</v>
      </c>
      <c r="B16" s="12" t="s">
        <v>119</v>
      </c>
      <c r="C16" s="12" t="s">
        <v>142</v>
      </c>
      <c r="D16" s="13">
        <v>95</v>
      </c>
      <c r="E16" s="13">
        <v>45</v>
      </c>
      <c r="F16" s="13">
        <v>0</v>
      </c>
      <c r="G16" s="13">
        <v>40</v>
      </c>
      <c r="H16" s="13">
        <v>10</v>
      </c>
      <c r="I16" s="12" t="s">
        <v>143</v>
      </c>
      <c r="J16" s="13">
        <v>4</v>
      </c>
      <c r="K16" s="12" t="s">
        <v>122</v>
      </c>
      <c r="L16" s="13">
        <v>1</v>
      </c>
      <c r="M16" s="12" t="s">
        <v>123</v>
      </c>
      <c r="N16" s="13">
        <f>D16+J16+L16</f>
        <v>100</v>
      </c>
      <c r="O16" s="2" t="s">
        <v>139</v>
      </c>
      <c r="P16" s="2" t="s">
        <v>72</v>
      </c>
      <c r="Q16" s="2" t="s">
        <v>125</v>
      </c>
      <c r="R16" s="2" t="s">
        <v>144</v>
      </c>
    </row>
    <row r="17" ht="58" customHeight="1" spans="1:18">
      <c r="A17" s="14" t="s">
        <v>145</v>
      </c>
      <c r="B17" s="14" t="s">
        <v>146</v>
      </c>
      <c r="C17" s="14" t="s">
        <v>147</v>
      </c>
      <c r="D17" s="15">
        <v>94</v>
      </c>
      <c r="E17" s="15">
        <v>36.6</v>
      </c>
      <c r="F17" s="15">
        <v>0</v>
      </c>
      <c r="G17" s="15">
        <v>41.8</v>
      </c>
      <c r="H17" s="15">
        <v>15.6</v>
      </c>
      <c r="I17" s="14" t="s">
        <v>148</v>
      </c>
      <c r="J17" s="15">
        <v>4</v>
      </c>
      <c r="K17" s="14" t="s">
        <v>149</v>
      </c>
      <c r="L17" s="15">
        <v>2</v>
      </c>
      <c r="M17" s="14" t="s">
        <v>150</v>
      </c>
      <c r="N17" s="15">
        <f>D17+J17+L17</f>
        <v>100</v>
      </c>
      <c r="O17" s="2" t="s">
        <v>71</v>
      </c>
      <c r="P17" s="2" t="s">
        <v>72</v>
      </c>
      <c r="Q17" s="2" t="s">
        <v>73</v>
      </c>
      <c r="R17" s="2" t="s">
        <v>151</v>
      </c>
    </row>
    <row r="18" ht="51" spans="1:18">
      <c r="A18" s="14" t="s">
        <v>152</v>
      </c>
      <c r="B18" s="14" t="s">
        <v>146</v>
      </c>
      <c r="C18" s="14" t="s">
        <v>153</v>
      </c>
      <c r="D18" s="15">
        <v>94</v>
      </c>
      <c r="E18" s="15">
        <v>33.9</v>
      </c>
      <c r="F18" s="15">
        <v>0</v>
      </c>
      <c r="G18" s="15">
        <v>45.6</v>
      </c>
      <c r="H18" s="15">
        <v>14.5</v>
      </c>
      <c r="I18" s="14" t="s">
        <v>154</v>
      </c>
      <c r="J18" s="15">
        <v>4</v>
      </c>
      <c r="K18" s="14" t="s">
        <v>149</v>
      </c>
      <c r="L18" s="15">
        <v>2</v>
      </c>
      <c r="M18" s="14" t="s">
        <v>155</v>
      </c>
      <c r="N18" s="15">
        <f>D18+J18+L18</f>
        <v>100</v>
      </c>
      <c r="O18" s="2" t="s">
        <v>71</v>
      </c>
      <c r="P18" s="2" t="s">
        <v>72</v>
      </c>
      <c r="Q18" s="2" t="s">
        <v>73</v>
      </c>
      <c r="R18" s="2" t="s">
        <v>156</v>
      </c>
    </row>
    <row r="19" ht="51" spans="1:18">
      <c r="A19" s="14" t="s">
        <v>157</v>
      </c>
      <c r="B19" s="14" t="s">
        <v>146</v>
      </c>
      <c r="C19" s="14" t="s">
        <v>158</v>
      </c>
      <c r="D19" s="15">
        <v>94</v>
      </c>
      <c r="E19" s="15">
        <v>29.7</v>
      </c>
      <c r="F19" s="15">
        <v>0</v>
      </c>
      <c r="G19" s="15">
        <v>49.5</v>
      </c>
      <c r="H19" s="15">
        <v>14.8</v>
      </c>
      <c r="I19" s="14" t="s">
        <v>159</v>
      </c>
      <c r="J19" s="15">
        <v>4</v>
      </c>
      <c r="K19" s="14" t="s">
        <v>149</v>
      </c>
      <c r="L19" s="15">
        <v>2</v>
      </c>
      <c r="M19" s="14" t="s">
        <v>155</v>
      </c>
      <c r="N19" s="15">
        <f>D19+J19+L19</f>
        <v>100</v>
      </c>
      <c r="O19" s="2" t="s">
        <v>82</v>
      </c>
      <c r="P19" s="2" t="s">
        <v>72</v>
      </c>
      <c r="Q19" s="2" t="s">
        <v>73</v>
      </c>
      <c r="R19" s="2" t="s">
        <v>160</v>
      </c>
    </row>
    <row r="20" ht="58" customHeight="1" spans="1:18">
      <c r="A20" s="14" t="s">
        <v>161</v>
      </c>
      <c r="B20" s="14" t="s">
        <v>146</v>
      </c>
      <c r="C20" s="14" t="s">
        <v>162</v>
      </c>
      <c r="D20" s="15">
        <v>94</v>
      </c>
      <c r="E20" s="15">
        <v>29.7</v>
      </c>
      <c r="F20" s="15">
        <v>0</v>
      </c>
      <c r="G20" s="15">
        <v>49.5</v>
      </c>
      <c r="H20" s="15">
        <v>14.8</v>
      </c>
      <c r="I20" s="14" t="s">
        <v>163</v>
      </c>
      <c r="J20" s="15">
        <v>4</v>
      </c>
      <c r="K20" s="14" t="s">
        <v>149</v>
      </c>
      <c r="L20" s="15">
        <v>2</v>
      </c>
      <c r="M20" s="14" t="s">
        <v>155</v>
      </c>
      <c r="N20" s="15">
        <f>D20+J20+L20</f>
        <v>100</v>
      </c>
      <c r="O20" s="2" t="s">
        <v>164</v>
      </c>
      <c r="P20" s="2" t="s">
        <v>72</v>
      </c>
      <c r="Q20" s="2" t="s">
        <v>73</v>
      </c>
      <c r="R20" s="2" t="s">
        <v>165</v>
      </c>
    </row>
    <row r="21" ht="58" customHeight="1" spans="1:18">
      <c r="A21" s="14" t="s">
        <v>166</v>
      </c>
      <c r="B21" s="14" t="s">
        <v>146</v>
      </c>
      <c r="C21" s="14" t="s">
        <v>167</v>
      </c>
      <c r="D21" s="15">
        <v>94</v>
      </c>
      <c r="E21" s="15">
        <v>34.6</v>
      </c>
      <c r="F21" s="15">
        <v>0</v>
      </c>
      <c r="G21" s="15">
        <v>44.6</v>
      </c>
      <c r="H21" s="15">
        <v>14.8</v>
      </c>
      <c r="I21" s="14" t="s">
        <v>168</v>
      </c>
      <c r="J21" s="15">
        <v>4</v>
      </c>
      <c r="K21" s="14" t="s">
        <v>149</v>
      </c>
      <c r="L21" s="15">
        <v>2</v>
      </c>
      <c r="M21" s="14" t="s">
        <v>155</v>
      </c>
      <c r="N21" s="15">
        <f>D21+J21+L21</f>
        <v>100</v>
      </c>
      <c r="O21" s="2" t="s">
        <v>92</v>
      </c>
      <c r="P21" s="2" t="s">
        <v>72</v>
      </c>
      <c r="Q21" s="2" t="s">
        <v>73</v>
      </c>
      <c r="R21" s="2" t="s">
        <v>169</v>
      </c>
    </row>
    <row r="22" ht="58" customHeight="1" spans="1:18">
      <c r="A22" s="12" t="s">
        <v>170</v>
      </c>
      <c r="B22" s="12" t="s">
        <v>171</v>
      </c>
      <c r="C22" s="12" t="s">
        <v>172</v>
      </c>
      <c r="D22" s="13">
        <v>94</v>
      </c>
      <c r="E22" s="13">
        <v>34.6</v>
      </c>
      <c r="F22" s="13">
        <v>0</v>
      </c>
      <c r="G22" s="13">
        <v>44.6</v>
      </c>
      <c r="H22" s="13">
        <v>14.8</v>
      </c>
      <c r="I22" s="12" t="s">
        <v>173</v>
      </c>
      <c r="J22" s="13">
        <v>4</v>
      </c>
      <c r="K22" s="12" t="s">
        <v>174</v>
      </c>
      <c r="L22" s="13">
        <v>2</v>
      </c>
      <c r="M22" s="12" t="s">
        <v>175</v>
      </c>
      <c r="N22" s="13">
        <f>D22+J22+L22</f>
        <v>100</v>
      </c>
      <c r="O22" s="2" t="s">
        <v>71</v>
      </c>
      <c r="P22" s="2" t="s">
        <v>72</v>
      </c>
      <c r="Q22" s="2" t="s">
        <v>73</v>
      </c>
      <c r="R22" s="2" t="s">
        <v>176</v>
      </c>
    </row>
    <row r="23" ht="58" customHeight="1" spans="1:18">
      <c r="A23" s="12" t="s">
        <v>177</v>
      </c>
      <c r="B23" s="12" t="s">
        <v>171</v>
      </c>
      <c r="C23" s="12" t="s">
        <v>178</v>
      </c>
      <c r="D23" s="13">
        <v>94</v>
      </c>
      <c r="E23" s="13">
        <v>37.6</v>
      </c>
      <c r="F23" s="13">
        <v>0</v>
      </c>
      <c r="G23" s="13">
        <v>21.8</v>
      </c>
      <c r="H23" s="13">
        <v>34.6</v>
      </c>
      <c r="I23" s="12" t="s">
        <v>179</v>
      </c>
      <c r="J23" s="13">
        <v>4</v>
      </c>
      <c r="K23" s="12" t="s">
        <v>174</v>
      </c>
      <c r="L23" s="13">
        <v>2</v>
      </c>
      <c r="M23" s="12" t="s">
        <v>180</v>
      </c>
      <c r="N23" s="13">
        <f>D23+J23+L23</f>
        <v>100</v>
      </c>
      <c r="O23" s="2" t="s">
        <v>82</v>
      </c>
      <c r="P23" s="2" t="s">
        <v>72</v>
      </c>
      <c r="Q23" s="2" t="s">
        <v>73</v>
      </c>
      <c r="R23" s="2" t="s">
        <v>160</v>
      </c>
    </row>
    <row r="24" ht="58" customHeight="1" spans="1:18">
      <c r="A24" s="12" t="s">
        <v>181</v>
      </c>
      <c r="B24" s="12" t="s">
        <v>171</v>
      </c>
      <c r="C24" s="12" t="s">
        <v>182</v>
      </c>
      <c r="D24" s="13">
        <v>94</v>
      </c>
      <c r="E24" s="13">
        <v>43.2</v>
      </c>
      <c r="F24" s="13">
        <v>0</v>
      </c>
      <c r="G24" s="13">
        <v>34.6</v>
      </c>
      <c r="H24" s="13">
        <v>16.2</v>
      </c>
      <c r="I24" s="12" t="s">
        <v>183</v>
      </c>
      <c r="J24" s="13">
        <v>4</v>
      </c>
      <c r="K24" s="12" t="s">
        <v>174</v>
      </c>
      <c r="L24" s="13">
        <v>2</v>
      </c>
      <c r="M24" s="12" t="s">
        <v>175</v>
      </c>
      <c r="N24" s="13">
        <f>D24+J24+L24</f>
        <v>100</v>
      </c>
      <c r="O24" s="2" t="s">
        <v>82</v>
      </c>
      <c r="P24" s="2" t="s">
        <v>72</v>
      </c>
      <c r="Q24" s="2" t="s">
        <v>73</v>
      </c>
      <c r="R24" s="2" t="s">
        <v>184</v>
      </c>
    </row>
    <row r="25" ht="58" customHeight="1" spans="1:18">
      <c r="A25" s="12" t="s">
        <v>185</v>
      </c>
      <c r="B25" s="12" t="s">
        <v>171</v>
      </c>
      <c r="C25" s="12" t="s">
        <v>186</v>
      </c>
      <c r="D25" s="13">
        <v>94</v>
      </c>
      <c r="E25" s="13">
        <v>34.6</v>
      </c>
      <c r="F25" s="13">
        <v>0</v>
      </c>
      <c r="G25" s="13">
        <v>24.7</v>
      </c>
      <c r="H25" s="13">
        <v>34.7</v>
      </c>
      <c r="I25" s="12" t="s">
        <v>187</v>
      </c>
      <c r="J25" s="13">
        <v>4</v>
      </c>
      <c r="K25" s="12" t="s">
        <v>174</v>
      </c>
      <c r="L25" s="13">
        <v>2</v>
      </c>
      <c r="M25" s="12" t="s">
        <v>175</v>
      </c>
      <c r="N25" s="13">
        <f>D25+J25+L25</f>
        <v>100</v>
      </c>
      <c r="O25" s="2" t="s">
        <v>164</v>
      </c>
      <c r="P25" s="2" t="s">
        <v>72</v>
      </c>
      <c r="Q25" s="2" t="s">
        <v>73</v>
      </c>
      <c r="R25" s="2" t="s">
        <v>188</v>
      </c>
    </row>
    <row r="26" ht="58" customHeight="1" spans="1:18">
      <c r="A26" s="12" t="s">
        <v>189</v>
      </c>
      <c r="B26" s="12" t="s">
        <v>171</v>
      </c>
      <c r="C26" s="12" t="s">
        <v>190</v>
      </c>
      <c r="D26" s="13">
        <v>94</v>
      </c>
      <c r="E26" s="13">
        <v>34.6</v>
      </c>
      <c r="F26" s="13">
        <v>0</v>
      </c>
      <c r="G26" s="13">
        <v>44.6</v>
      </c>
      <c r="H26" s="13">
        <v>14.8</v>
      </c>
      <c r="I26" s="12" t="s">
        <v>191</v>
      </c>
      <c r="J26" s="13">
        <v>4</v>
      </c>
      <c r="K26" s="12" t="s">
        <v>174</v>
      </c>
      <c r="L26" s="13">
        <v>2</v>
      </c>
      <c r="M26" s="12" t="s">
        <v>175</v>
      </c>
      <c r="N26" s="13">
        <f>D26+J26+L26</f>
        <v>100</v>
      </c>
      <c r="O26" s="2" t="s">
        <v>92</v>
      </c>
      <c r="P26" s="2" t="s">
        <v>72</v>
      </c>
      <c r="Q26" s="2" t="s">
        <v>73</v>
      </c>
      <c r="R26" s="2" t="s">
        <v>93</v>
      </c>
    </row>
    <row r="27" s="11" customFormat="1" ht="58" customHeight="1" spans="1:18">
      <c r="A27" s="14" t="s">
        <v>192</v>
      </c>
      <c r="B27" s="14" t="s">
        <v>193</v>
      </c>
      <c r="C27" s="14" t="s">
        <v>194</v>
      </c>
      <c r="D27" s="15">
        <v>96</v>
      </c>
      <c r="E27" s="15">
        <v>38.4</v>
      </c>
      <c r="F27" s="15">
        <v>0</v>
      </c>
      <c r="G27" s="15">
        <v>45.5</v>
      </c>
      <c r="H27" s="15">
        <v>12.1</v>
      </c>
      <c r="I27" s="14" t="s">
        <v>195</v>
      </c>
      <c r="J27" s="15">
        <v>4</v>
      </c>
      <c r="K27" s="14" t="s">
        <v>196</v>
      </c>
      <c r="L27" s="15">
        <v>0</v>
      </c>
      <c r="M27" s="14" t="s">
        <v>70</v>
      </c>
      <c r="N27" s="15">
        <f>D27+J27+L27</f>
        <v>100</v>
      </c>
      <c r="O27" s="18" t="s">
        <v>71</v>
      </c>
      <c r="P27" s="18" t="s">
        <v>72</v>
      </c>
      <c r="Q27" s="18" t="s">
        <v>73</v>
      </c>
      <c r="R27" s="18" t="s">
        <v>197</v>
      </c>
    </row>
    <row r="28" s="11" customFormat="1" ht="58" customHeight="1" spans="1:18">
      <c r="A28" s="14" t="s">
        <v>198</v>
      </c>
      <c r="B28" s="14" t="s">
        <v>193</v>
      </c>
      <c r="C28" s="14" t="s">
        <v>199</v>
      </c>
      <c r="D28" s="15">
        <v>96</v>
      </c>
      <c r="E28" s="15">
        <v>39.6</v>
      </c>
      <c r="F28" s="15">
        <v>9.9</v>
      </c>
      <c r="G28" s="15">
        <v>19.8</v>
      </c>
      <c r="H28" s="15">
        <v>26.7</v>
      </c>
      <c r="I28" s="14" t="s">
        <v>200</v>
      </c>
      <c r="J28" s="15">
        <v>4</v>
      </c>
      <c r="K28" s="14" t="s">
        <v>196</v>
      </c>
      <c r="L28" s="15">
        <v>0</v>
      </c>
      <c r="M28" s="14" t="s">
        <v>70</v>
      </c>
      <c r="N28" s="15">
        <f>D28+J28+L28</f>
        <v>100</v>
      </c>
      <c r="O28" s="18" t="s">
        <v>71</v>
      </c>
      <c r="P28" s="18" t="s">
        <v>72</v>
      </c>
      <c r="Q28" s="18" t="s">
        <v>73</v>
      </c>
      <c r="R28" s="18" t="s">
        <v>201</v>
      </c>
    </row>
    <row r="29" s="11" customFormat="1" ht="58" customHeight="1" spans="1:18">
      <c r="A29" s="14" t="s">
        <v>202</v>
      </c>
      <c r="B29" s="14" t="s">
        <v>193</v>
      </c>
      <c r="C29" s="14" t="s">
        <v>203</v>
      </c>
      <c r="D29" s="15">
        <v>96</v>
      </c>
      <c r="E29" s="15">
        <v>35.4</v>
      </c>
      <c r="F29" s="15">
        <v>0</v>
      </c>
      <c r="G29" s="15">
        <v>25.2</v>
      </c>
      <c r="H29" s="15">
        <v>35.4</v>
      </c>
      <c r="I29" s="14" t="s">
        <v>204</v>
      </c>
      <c r="J29" s="15">
        <v>4</v>
      </c>
      <c r="K29" s="14" t="s">
        <v>196</v>
      </c>
      <c r="L29" s="15">
        <v>0</v>
      </c>
      <c r="M29" s="14" t="s">
        <v>70</v>
      </c>
      <c r="N29" s="15">
        <f>D29+J29+L29</f>
        <v>100</v>
      </c>
      <c r="O29" s="18" t="s">
        <v>82</v>
      </c>
      <c r="P29" s="18" t="s">
        <v>72</v>
      </c>
      <c r="Q29" s="18" t="s">
        <v>73</v>
      </c>
      <c r="R29" s="18" t="s">
        <v>205</v>
      </c>
    </row>
    <row r="30" s="11" customFormat="1" ht="58" customHeight="1" spans="1:18">
      <c r="A30" s="14" t="s">
        <v>206</v>
      </c>
      <c r="B30" s="14" t="s">
        <v>193</v>
      </c>
      <c r="C30" s="14" t="s">
        <v>207</v>
      </c>
      <c r="D30" s="15">
        <v>96</v>
      </c>
      <c r="E30" s="15">
        <v>35.4</v>
      </c>
      <c r="F30" s="15">
        <v>0</v>
      </c>
      <c r="G30" s="15">
        <v>25.3</v>
      </c>
      <c r="H30" s="15">
        <v>35.3</v>
      </c>
      <c r="I30" s="14" t="s">
        <v>208</v>
      </c>
      <c r="J30" s="15">
        <v>4</v>
      </c>
      <c r="K30" s="14" t="s">
        <v>196</v>
      </c>
      <c r="L30" s="15">
        <v>0</v>
      </c>
      <c r="M30" s="14" t="s">
        <v>70</v>
      </c>
      <c r="N30" s="15">
        <f>D30+J30+L30</f>
        <v>100</v>
      </c>
      <c r="O30" s="18" t="s">
        <v>164</v>
      </c>
      <c r="P30" s="18" t="s">
        <v>72</v>
      </c>
      <c r="Q30" s="18" t="s">
        <v>73</v>
      </c>
      <c r="R30" s="18" t="s">
        <v>209</v>
      </c>
    </row>
    <row r="31" s="11" customFormat="1" ht="58" customHeight="1" spans="1:18">
      <c r="A31" s="14" t="s">
        <v>210</v>
      </c>
      <c r="B31" s="14" t="s">
        <v>193</v>
      </c>
      <c r="C31" s="14" t="s">
        <v>211</v>
      </c>
      <c r="D31" s="15">
        <v>96</v>
      </c>
      <c r="E31" s="15">
        <v>41.3</v>
      </c>
      <c r="F31" s="15">
        <v>0</v>
      </c>
      <c r="G31" s="15">
        <v>39.2</v>
      </c>
      <c r="H31" s="15">
        <v>15.5</v>
      </c>
      <c r="I31" s="14" t="s">
        <v>212</v>
      </c>
      <c r="J31" s="15">
        <v>4</v>
      </c>
      <c r="K31" s="14" t="s">
        <v>196</v>
      </c>
      <c r="L31" s="15">
        <v>0</v>
      </c>
      <c r="M31" s="14" t="s">
        <v>70</v>
      </c>
      <c r="N31" s="15">
        <f>D31+J31+L31</f>
        <v>100</v>
      </c>
      <c r="O31" s="18" t="s">
        <v>92</v>
      </c>
      <c r="P31" s="18" t="s">
        <v>72</v>
      </c>
      <c r="Q31" s="18" t="s">
        <v>73</v>
      </c>
      <c r="R31" s="18" t="s">
        <v>213</v>
      </c>
    </row>
    <row r="32" s="11" customFormat="1" ht="58" customHeight="1" spans="1:18">
      <c r="A32" s="16" t="s">
        <v>214</v>
      </c>
      <c r="B32" s="16" t="s">
        <v>215</v>
      </c>
      <c r="C32" s="16" t="s">
        <v>216</v>
      </c>
      <c r="D32" s="17">
        <v>96</v>
      </c>
      <c r="E32" s="17">
        <v>35.4</v>
      </c>
      <c r="F32" s="17">
        <v>10.1</v>
      </c>
      <c r="G32" s="17">
        <v>15.1</v>
      </c>
      <c r="H32" s="17">
        <v>35.4</v>
      </c>
      <c r="I32" s="16" t="s">
        <v>217</v>
      </c>
      <c r="J32" s="17">
        <v>4</v>
      </c>
      <c r="K32" s="16" t="s">
        <v>218</v>
      </c>
      <c r="L32" s="17">
        <v>0</v>
      </c>
      <c r="M32" s="16" t="s">
        <v>70</v>
      </c>
      <c r="N32" s="17">
        <f>D32+J32+L32</f>
        <v>100</v>
      </c>
      <c r="O32" s="18" t="s">
        <v>71</v>
      </c>
      <c r="P32" s="18" t="s">
        <v>72</v>
      </c>
      <c r="Q32" s="18" t="s">
        <v>73</v>
      </c>
      <c r="R32" s="18" t="s">
        <v>219</v>
      </c>
    </row>
    <row r="33" s="11" customFormat="1" ht="58" customHeight="1" spans="1:18">
      <c r="A33" s="16" t="s">
        <v>220</v>
      </c>
      <c r="B33" s="16" t="s">
        <v>215</v>
      </c>
      <c r="C33" s="16" t="s">
        <v>221</v>
      </c>
      <c r="D33" s="17">
        <v>95</v>
      </c>
      <c r="E33" s="17">
        <v>35</v>
      </c>
      <c r="F33" s="17">
        <v>10</v>
      </c>
      <c r="G33" s="17">
        <v>15</v>
      </c>
      <c r="H33" s="17">
        <v>35</v>
      </c>
      <c r="I33" s="16" t="s">
        <v>222</v>
      </c>
      <c r="J33" s="17">
        <v>4</v>
      </c>
      <c r="K33" s="16" t="s">
        <v>218</v>
      </c>
      <c r="L33" s="17">
        <v>1</v>
      </c>
      <c r="M33" s="16" t="s">
        <v>223</v>
      </c>
      <c r="N33" s="17">
        <f>D33+J33+L33</f>
        <v>100</v>
      </c>
      <c r="O33" s="18" t="s">
        <v>71</v>
      </c>
      <c r="P33" s="18" t="s">
        <v>72</v>
      </c>
      <c r="Q33" s="18" t="s">
        <v>73</v>
      </c>
      <c r="R33" s="18" t="s">
        <v>219</v>
      </c>
    </row>
    <row r="34" s="11" customFormat="1" ht="68" spans="1:18">
      <c r="A34" s="16" t="s">
        <v>224</v>
      </c>
      <c r="B34" s="16" t="s">
        <v>215</v>
      </c>
      <c r="C34" s="16" t="s">
        <v>225</v>
      </c>
      <c r="D34" s="17">
        <v>96</v>
      </c>
      <c r="E34" s="17">
        <v>31</v>
      </c>
      <c r="F34" s="17">
        <v>22.3</v>
      </c>
      <c r="G34" s="17">
        <v>23.2</v>
      </c>
      <c r="H34" s="17">
        <v>19.5</v>
      </c>
      <c r="I34" s="16" t="s">
        <v>226</v>
      </c>
      <c r="J34" s="17">
        <v>4</v>
      </c>
      <c r="K34" s="16" t="s">
        <v>218</v>
      </c>
      <c r="L34" s="17">
        <v>0</v>
      </c>
      <c r="M34" s="16" t="s">
        <v>70</v>
      </c>
      <c r="N34" s="17">
        <f>D34+J34+L34</f>
        <v>100</v>
      </c>
      <c r="O34" s="18" t="s">
        <v>71</v>
      </c>
      <c r="P34" s="18" t="s">
        <v>72</v>
      </c>
      <c r="Q34" s="18" t="s">
        <v>73</v>
      </c>
      <c r="R34" s="18" t="s">
        <v>227</v>
      </c>
    </row>
    <row r="35" s="11" customFormat="1" ht="58" customHeight="1" spans="1:18">
      <c r="A35" s="16" t="s">
        <v>228</v>
      </c>
      <c r="B35" s="16" t="s">
        <v>215</v>
      </c>
      <c r="C35" s="16" t="s">
        <v>229</v>
      </c>
      <c r="D35" s="17">
        <v>96</v>
      </c>
      <c r="E35" s="17">
        <v>39.2</v>
      </c>
      <c r="F35" s="17">
        <v>0</v>
      </c>
      <c r="G35" s="17">
        <v>20.6</v>
      </c>
      <c r="H35" s="17">
        <v>36.2</v>
      </c>
      <c r="I35" s="16" t="s">
        <v>230</v>
      </c>
      <c r="J35" s="17">
        <v>4</v>
      </c>
      <c r="K35" s="16" t="s">
        <v>218</v>
      </c>
      <c r="L35" s="17">
        <v>0</v>
      </c>
      <c r="M35" s="16" t="s">
        <v>70</v>
      </c>
      <c r="N35" s="17">
        <f>D35+J35+L35</f>
        <v>100</v>
      </c>
      <c r="O35" s="18" t="s">
        <v>71</v>
      </c>
      <c r="P35" s="18" t="s">
        <v>72</v>
      </c>
      <c r="Q35" s="18" t="s">
        <v>73</v>
      </c>
      <c r="R35" s="18" t="s">
        <v>231</v>
      </c>
    </row>
    <row r="36" s="11" customFormat="1" ht="58" customHeight="1" spans="1:18">
      <c r="A36" s="16" t="s">
        <v>232</v>
      </c>
      <c r="B36" s="16" t="s">
        <v>215</v>
      </c>
      <c r="C36" s="16" t="s">
        <v>233</v>
      </c>
      <c r="D36" s="17">
        <v>94.5</v>
      </c>
      <c r="E36" s="17">
        <v>34.8</v>
      </c>
      <c r="F36" s="17">
        <v>8</v>
      </c>
      <c r="G36" s="17">
        <v>36.8</v>
      </c>
      <c r="H36" s="17">
        <v>14.9</v>
      </c>
      <c r="I36" s="16" t="s">
        <v>234</v>
      </c>
      <c r="J36" s="17">
        <v>4</v>
      </c>
      <c r="K36" s="16" t="s">
        <v>218</v>
      </c>
      <c r="L36" s="17">
        <v>1.5</v>
      </c>
      <c r="M36" s="16" t="s">
        <v>235</v>
      </c>
      <c r="N36" s="17">
        <f>D36+J36+L36</f>
        <v>100</v>
      </c>
      <c r="O36" s="18" t="s">
        <v>236</v>
      </c>
      <c r="P36" s="18" t="s">
        <v>72</v>
      </c>
      <c r="Q36" s="18" t="s">
        <v>73</v>
      </c>
      <c r="R36" s="18" t="s">
        <v>237</v>
      </c>
    </row>
    <row r="37" s="11" customFormat="1" ht="58" customHeight="1" spans="1:18">
      <c r="A37" s="16" t="s">
        <v>238</v>
      </c>
      <c r="B37" s="16" t="s">
        <v>215</v>
      </c>
      <c r="C37" s="16" t="s">
        <v>239</v>
      </c>
      <c r="D37" s="17">
        <v>96</v>
      </c>
      <c r="E37" s="17">
        <v>37.3</v>
      </c>
      <c r="F37" s="17">
        <v>0</v>
      </c>
      <c r="G37" s="17">
        <v>37.4</v>
      </c>
      <c r="H37" s="17">
        <v>21.3</v>
      </c>
      <c r="I37" s="16" t="s">
        <v>240</v>
      </c>
      <c r="J37" s="17">
        <v>4</v>
      </c>
      <c r="K37" s="16" t="s">
        <v>218</v>
      </c>
      <c r="L37" s="17">
        <v>0</v>
      </c>
      <c r="M37" s="16" t="s">
        <v>70</v>
      </c>
      <c r="N37" s="17">
        <f>D37+J37+L37</f>
        <v>100</v>
      </c>
      <c r="O37" s="18" t="s">
        <v>82</v>
      </c>
      <c r="P37" s="18" t="s">
        <v>72</v>
      </c>
      <c r="Q37" s="18" t="s">
        <v>73</v>
      </c>
      <c r="R37" s="18" t="s">
        <v>241</v>
      </c>
    </row>
    <row r="38" s="11" customFormat="1" ht="58" customHeight="1" spans="1:18">
      <c r="A38" s="16" t="s">
        <v>242</v>
      </c>
      <c r="B38" s="16" t="s">
        <v>215</v>
      </c>
      <c r="C38" s="16" t="s">
        <v>243</v>
      </c>
      <c r="D38" s="17">
        <v>96</v>
      </c>
      <c r="E38" s="17">
        <v>34.4</v>
      </c>
      <c r="F38" s="17">
        <v>14.1</v>
      </c>
      <c r="G38" s="17">
        <v>32.3</v>
      </c>
      <c r="H38" s="17">
        <v>15.2</v>
      </c>
      <c r="I38" s="16" t="s">
        <v>244</v>
      </c>
      <c r="J38" s="17">
        <v>4</v>
      </c>
      <c r="K38" s="16" t="s">
        <v>218</v>
      </c>
      <c r="L38" s="17">
        <v>0</v>
      </c>
      <c r="M38" s="16" t="s">
        <v>70</v>
      </c>
      <c r="N38" s="17">
        <f>D38+J38+L38</f>
        <v>100</v>
      </c>
      <c r="O38" s="18" t="s">
        <v>245</v>
      </c>
      <c r="P38" s="18" t="s">
        <v>72</v>
      </c>
      <c r="Q38" s="18" t="s">
        <v>73</v>
      </c>
      <c r="R38" s="18" t="s">
        <v>246</v>
      </c>
    </row>
    <row r="39" s="11" customFormat="1" ht="68" spans="1:18">
      <c r="A39" s="16" t="s">
        <v>247</v>
      </c>
      <c r="B39" s="16" t="s">
        <v>215</v>
      </c>
      <c r="C39" s="16" t="s">
        <v>248</v>
      </c>
      <c r="D39" s="17">
        <v>96</v>
      </c>
      <c r="E39" s="17">
        <v>30.4</v>
      </c>
      <c r="F39" s="17">
        <v>13.1</v>
      </c>
      <c r="G39" s="17">
        <v>22.2</v>
      </c>
      <c r="H39" s="17">
        <v>30.3</v>
      </c>
      <c r="I39" s="16" t="s">
        <v>249</v>
      </c>
      <c r="J39" s="17">
        <v>4</v>
      </c>
      <c r="K39" s="16" t="s">
        <v>218</v>
      </c>
      <c r="L39" s="17">
        <v>0</v>
      </c>
      <c r="M39" s="16" t="s">
        <v>70</v>
      </c>
      <c r="N39" s="17">
        <f>D39+J39+L39</f>
        <v>100</v>
      </c>
      <c r="O39" s="18" t="s">
        <v>245</v>
      </c>
      <c r="P39" s="18" t="s">
        <v>72</v>
      </c>
      <c r="Q39" s="18" t="s">
        <v>73</v>
      </c>
      <c r="R39" s="18" t="s">
        <v>250</v>
      </c>
    </row>
    <row r="40" s="11" customFormat="1" ht="58" customHeight="1" spans="1:18">
      <c r="A40" s="16" t="s">
        <v>251</v>
      </c>
      <c r="B40" s="16" t="s">
        <v>215</v>
      </c>
      <c r="C40" s="16" t="s">
        <v>252</v>
      </c>
      <c r="D40" s="17">
        <v>95</v>
      </c>
      <c r="E40" s="17">
        <v>35</v>
      </c>
      <c r="F40" s="17">
        <v>0</v>
      </c>
      <c r="G40" s="17">
        <v>40</v>
      </c>
      <c r="H40" s="17">
        <v>20</v>
      </c>
      <c r="I40" s="16" t="s">
        <v>253</v>
      </c>
      <c r="J40" s="17">
        <v>4</v>
      </c>
      <c r="K40" s="16" t="s">
        <v>218</v>
      </c>
      <c r="L40" s="17">
        <v>1</v>
      </c>
      <c r="M40" s="16" t="s">
        <v>254</v>
      </c>
      <c r="N40" s="17">
        <f>D40+J40+L40</f>
        <v>100</v>
      </c>
      <c r="O40" s="18" t="s">
        <v>92</v>
      </c>
      <c r="P40" s="18" t="s">
        <v>72</v>
      </c>
      <c r="Q40" s="18" t="s">
        <v>73</v>
      </c>
      <c r="R40" s="18" t="s">
        <v>255</v>
      </c>
    </row>
    <row r="41" s="11" customFormat="1" ht="58" customHeight="1" spans="1:18">
      <c r="A41" s="16" t="s">
        <v>256</v>
      </c>
      <c r="B41" s="16" t="s">
        <v>215</v>
      </c>
      <c r="C41" s="16" t="s">
        <v>257</v>
      </c>
      <c r="D41" s="17">
        <v>96</v>
      </c>
      <c r="E41" s="17">
        <v>40.4</v>
      </c>
      <c r="F41" s="17">
        <v>0</v>
      </c>
      <c r="G41" s="17">
        <v>20.2</v>
      </c>
      <c r="H41" s="17">
        <v>35.4</v>
      </c>
      <c r="I41" s="16" t="s">
        <v>258</v>
      </c>
      <c r="J41" s="17">
        <v>4</v>
      </c>
      <c r="K41" s="16" t="s">
        <v>218</v>
      </c>
      <c r="L41" s="17">
        <v>0</v>
      </c>
      <c r="M41" s="16" t="s">
        <v>70</v>
      </c>
      <c r="N41" s="17">
        <f>D41+J41+L41</f>
        <v>100</v>
      </c>
      <c r="O41" s="18" t="s">
        <v>259</v>
      </c>
      <c r="P41" s="18" t="s">
        <v>72</v>
      </c>
      <c r="Q41" s="18" t="s">
        <v>73</v>
      </c>
      <c r="R41" s="18" t="s">
        <v>260</v>
      </c>
    </row>
  </sheetData>
  <conditionalFormatting sqref="B2:B41">
    <cfRule type="expression" dxfId="0" priority="1">
      <formula>$B2="低敏单一蛋白"</formula>
    </cfRule>
    <cfRule type="expression" dxfId="1" priority="2">
      <formula>$B2="控钙幼犬（大型幼犬）"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C20" sqref="C20"/>
    </sheetView>
  </sheetViews>
  <sheetFormatPr defaultColWidth="9" defaultRowHeight="16.8" outlineLevelCol="7"/>
  <cols>
    <col min="1" max="1" width="24" customWidth="1"/>
    <col min="2" max="2" width="22" customWidth="1"/>
    <col min="3" max="3" width="48" customWidth="1"/>
    <col min="4" max="4" width="52" customWidth="1"/>
    <col min="5" max="6" width="12" customWidth="1"/>
    <col min="7" max="7" width="36" customWidth="1"/>
    <col min="8" max="8" width="46" customWidth="1"/>
  </cols>
  <sheetData>
    <row r="1" ht="54" customHeight="1" spans="1:8">
      <c r="A1" s="4" t="s">
        <v>261</v>
      </c>
      <c r="B1" s="4" t="s">
        <v>262</v>
      </c>
      <c r="C1" s="4" t="s">
        <v>263</v>
      </c>
      <c r="D1" s="4" t="s">
        <v>264</v>
      </c>
      <c r="E1" s="4" t="s">
        <v>265</v>
      </c>
      <c r="F1" s="4" t="s">
        <v>266</v>
      </c>
      <c r="G1" s="4" t="s">
        <v>267</v>
      </c>
      <c r="H1" s="4" t="s">
        <v>268</v>
      </c>
    </row>
    <row r="2" ht="54" customHeight="1" spans="1:8">
      <c r="A2" s="9" t="s">
        <v>269</v>
      </c>
      <c r="B2" s="9" t="s">
        <v>215</v>
      </c>
      <c r="C2" s="9" t="s">
        <v>270</v>
      </c>
      <c r="D2" s="9" t="s">
        <v>271</v>
      </c>
      <c r="E2" s="9">
        <v>4</v>
      </c>
      <c r="F2" s="9" t="s">
        <v>72</v>
      </c>
      <c r="G2" s="9" t="s">
        <v>272</v>
      </c>
      <c r="H2" s="9" t="s">
        <v>273</v>
      </c>
    </row>
    <row r="3" ht="54" customHeight="1" spans="1:8">
      <c r="A3" s="9" t="s">
        <v>274</v>
      </c>
      <c r="B3" s="9" t="s">
        <v>193</v>
      </c>
      <c r="C3" s="9" t="s">
        <v>275</v>
      </c>
      <c r="D3" s="9" t="s">
        <v>276</v>
      </c>
      <c r="E3" s="9">
        <v>4</v>
      </c>
      <c r="F3" s="9" t="s">
        <v>72</v>
      </c>
      <c r="G3" s="9" t="s">
        <v>277</v>
      </c>
      <c r="H3" s="9" t="s">
        <v>278</v>
      </c>
    </row>
    <row r="4" ht="54" customHeight="1" spans="1:8">
      <c r="A4" s="9" t="s">
        <v>279</v>
      </c>
      <c r="B4" s="9" t="s">
        <v>66</v>
      </c>
      <c r="C4" s="9" t="s">
        <v>280</v>
      </c>
      <c r="D4" s="9" t="s">
        <v>281</v>
      </c>
      <c r="E4" s="9">
        <v>4</v>
      </c>
      <c r="F4" s="9" t="s">
        <v>72</v>
      </c>
      <c r="G4" s="9" t="s">
        <v>282</v>
      </c>
      <c r="H4" s="9" t="s">
        <v>283</v>
      </c>
    </row>
    <row r="5" ht="54" customHeight="1" spans="1:8">
      <c r="A5" s="9" t="s">
        <v>284</v>
      </c>
      <c r="B5" s="9" t="s">
        <v>285</v>
      </c>
      <c r="C5" s="9" t="s">
        <v>286</v>
      </c>
      <c r="D5" s="9" t="s">
        <v>287</v>
      </c>
      <c r="E5" s="9">
        <v>4</v>
      </c>
      <c r="F5" s="9" t="s">
        <v>72</v>
      </c>
      <c r="G5" s="9" t="s">
        <v>288</v>
      </c>
      <c r="H5" s="9" t="s">
        <v>289</v>
      </c>
    </row>
    <row r="6" ht="54" customHeight="1" spans="1:8">
      <c r="A6" s="9" t="s">
        <v>290</v>
      </c>
      <c r="B6" s="9" t="s">
        <v>291</v>
      </c>
      <c r="C6" s="9" t="s">
        <v>292</v>
      </c>
      <c r="D6" s="9" t="s">
        <v>293</v>
      </c>
      <c r="E6" s="9">
        <v>4</v>
      </c>
      <c r="F6" s="9" t="s">
        <v>72</v>
      </c>
      <c r="G6" s="9" t="s">
        <v>294</v>
      </c>
      <c r="H6" s="9" t="s">
        <v>295</v>
      </c>
    </row>
    <row r="7" ht="54" customHeight="1" spans="1:8">
      <c r="A7" s="9" t="s">
        <v>296</v>
      </c>
      <c r="B7" s="9" t="s">
        <v>95</v>
      </c>
      <c r="C7" s="9" t="s">
        <v>297</v>
      </c>
      <c r="D7" s="9" t="s">
        <v>298</v>
      </c>
      <c r="E7" s="9">
        <v>4</v>
      </c>
      <c r="F7" s="9" t="s">
        <v>72</v>
      </c>
      <c r="G7" s="9" t="s">
        <v>299</v>
      </c>
      <c r="H7" s="9" t="s">
        <v>300</v>
      </c>
    </row>
    <row r="8" ht="54" customHeight="1" spans="1:8">
      <c r="A8" s="9" t="s">
        <v>301</v>
      </c>
      <c r="B8" s="9" t="s">
        <v>119</v>
      </c>
      <c r="C8" s="9" t="s">
        <v>302</v>
      </c>
      <c r="D8" s="9" t="s">
        <v>303</v>
      </c>
      <c r="E8" s="9">
        <v>4</v>
      </c>
      <c r="F8" s="9" t="s">
        <v>72</v>
      </c>
      <c r="G8" s="9" t="s">
        <v>304</v>
      </c>
      <c r="H8" s="9" t="s">
        <v>305</v>
      </c>
    </row>
    <row r="9" ht="54" customHeight="1" spans="1:8">
      <c r="A9" s="10" t="s">
        <v>306</v>
      </c>
      <c r="B9" s="10" t="s">
        <v>307</v>
      </c>
      <c r="C9" s="10" t="s">
        <v>308</v>
      </c>
      <c r="D9" s="10" t="s">
        <v>309</v>
      </c>
      <c r="E9" s="10">
        <v>1.5</v>
      </c>
      <c r="F9" s="10" t="s">
        <v>72</v>
      </c>
      <c r="G9" s="10" t="s">
        <v>310</v>
      </c>
      <c r="H9" s="10" t="s">
        <v>311</v>
      </c>
    </row>
    <row r="10" ht="54" customHeight="1" spans="1:8">
      <c r="A10" s="10" t="s">
        <v>312</v>
      </c>
      <c r="B10" s="10" t="s">
        <v>313</v>
      </c>
      <c r="C10" s="10" t="s">
        <v>314</v>
      </c>
      <c r="D10" s="10" t="s">
        <v>315</v>
      </c>
      <c r="E10" s="10">
        <v>2</v>
      </c>
      <c r="F10" s="10" t="s">
        <v>72</v>
      </c>
      <c r="G10" s="10" t="s">
        <v>316</v>
      </c>
      <c r="H10" s="10" t="s">
        <v>317</v>
      </c>
    </row>
    <row r="11" ht="54" customHeight="1" spans="1:8">
      <c r="A11" s="10" t="s">
        <v>318</v>
      </c>
      <c r="B11" s="10" t="s">
        <v>291</v>
      </c>
      <c r="C11" s="10" t="s">
        <v>319</v>
      </c>
      <c r="D11" s="10" t="s">
        <v>320</v>
      </c>
      <c r="E11" s="10">
        <v>2</v>
      </c>
      <c r="F11" s="10" t="s">
        <v>72</v>
      </c>
      <c r="G11" s="10" t="s">
        <v>321</v>
      </c>
      <c r="H11" s="10" t="s">
        <v>322</v>
      </c>
    </row>
    <row r="12" ht="54" customHeight="1" spans="1:8">
      <c r="A12" s="10" t="s">
        <v>323</v>
      </c>
      <c r="B12" s="10" t="s">
        <v>324</v>
      </c>
      <c r="C12" s="10" t="s">
        <v>325</v>
      </c>
      <c r="D12" s="10" t="s">
        <v>326</v>
      </c>
      <c r="E12" s="10">
        <v>1</v>
      </c>
      <c r="F12" s="10" t="s">
        <v>72</v>
      </c>
      <c r="G12" s="10" t="s">
        <v>327</v>
      </c>
      <c r="H12" s="10" t="s">
        <v>328</v>
      </c>
    </row>
    <row r="13" ht="54" customHeight="1" spans="1:8">
      <c r="A13" s="10" t="s">
        <v>329</v>
      </c>
      <c r="B13" s="10" t="s">
        <v>330</v>
      </c>
      <c r="C13" s="10" t="s">
        <v>331</v>
      </c>
      <c r="D13" s="10" t="s">
        <v>332</v>
      </c>
      <c r="E13" s="10">
        <v>1.5</v>
      </c>
      <c r="F13" s="10" t="s">
        <v>72</v>
      </c>
      <c r="G13" s="10" t="s">
        <v>333</v>
      </c>
      <c r="H13" s="10" t="s">
        <v>334</v>
      </c>
    </row>
    <row r="14" ht="54" customHeight="1" spans="1:8">
      <c r="A14" s="10" t="s">
        <v>335</v>
      </c>
      <c r="B14" s="10" t="s">
        <v>336</v>
      </c>
      <c r="C14" s="10" t="s">
        <v>337</v>
      </c>
      <c r="D14" s="10" t="s">
        <v>338</v>
      </c>
      <c r="E14" s="10">
        <v>1</v>
      </c>
      <c r="F14" s="10" t="s">
        <v>72</v>
      </c>
      <c r="G14" s="10" t="s">
        <v>339</v>
      </c>
      <c r="H14" s="10" t="s">
        <v>340</v>
      </c>
    </row>
    <row r="15" ht="54" customHeight="1" spans="1:8">
      <c r="A15" s="10" t="s">
        <v>341</v>
      </c>
      <c r="B15" s="10" t="s">
        <v>342</v>
      </c>
      <c r="C15" s="10" t="s">
        <v>343</v>
      </c>
      <c r="D15" s="10" t="s">
        <v>344</v>
      </c>
      <c r="E15" s="10">
        <v>1</v>
      </c>
      <c r="F15" s="10" t="s">
        <v>72</v>
      </c>
      <c r="G15" s="10" t="s">
        <v>345</v>
      </c>
      <c r="H15" s="10" t="s">
        <v>346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topLeftCell="A17" workbookViewId="0">
      <selection activeCell="A8" sqref="A8"/>
    </sheetView>
  </sheetViews>
  <sheetFormatPr defaultColWidth="9" defaultRowHeight="16.8" outlineLevelCol="4"/>
  <cols>
    <col min="1" max="1" width="22" customWidth="1"/>
    <col min="2" max="3" width="18" customWidth="1"/>
    <col min="4" max="4" width="40" customWidth="1"/>
    <col min="5" max="5" width="55" customWidth="1"/>
  </cols>
  <sheetData>
    <row r="1" ht="17" spans="1:5">
      <c r="A1" s="1" t="s">
        <v>347</v>
      </c>
      <c r="B1" s="1" t="s">
        <v>348</v>
      </c>
      <c r="C1" s="1" t="s">
        <v>349</v>
      </c>
      <c r="D1" s="1" t="s">
        <v>350</v>
      </c>
      <c r="E1" s="1" t="s">
        <v>351</v>
      </c>
    </row>
    <row r="2" ht="36" customHeight="1" spans="1:5">
      <c r="A2" s="2" t="s">
        <v>352</v>
      </c>
      <c r="B2" s="2" t="s">
        <v>353</v>
      </c>
      <c r="C2" s="2" t="s">
        <v>354</v>
      </c>
      <c r="D2" s="2" t="s">
        <v>355</v>
      </c>
      <c r="E2" s="2" t="s">
        <v>356</v>
      </c>
    </row>
    <row r="3" ht="36" customHeight="1" spans="1:5">
      <c r="A3" s="2" t="s">
        <v>357</v>
      </c>
      <c r="B3" s="2" t="s">
        <v>358</v>
      </c>
      <c r="C3" s="2" t="s">
        <v>359</v>
      </c>
      <c r="D3" s="2" t="s">
        <v>360</v>
      </c>
      <c r="E3" s="2" t="s">
        <v>361</v>
      </c>
    </row>
    <row r="4" ht="36" customHeight="1" spans="1:5">
      <c r="A4" s="2" t="s">
        <v>362</v>
      </c>
      <c r="B4" s="2" t="s">
        <v>363</v>
      </c>
      <c r="C4" s="2" t="s">
        <v>359</v>
      </c>
      <c r="D4" s="2" t="s">
        <v>364</v>
      </c>
      <c r="E4" s="2" t="s">
        <v>365</v>
      </c>
    </row>
    <row r="5" ht="36" customHeight="1" spans="1:5">
      <c r="A5" s="2" t="s">
        <v>366</v>
      </c>
      <c r="B5" s="2" t="s">
        <v>367</v>
      </c>
      <c r="C5" s="2" t="s">
        <v>354</v>
      </c>
      <c r="D5" s="2" t="s">
        <v>368</v>
      </c>
      <c r="E5" s="2" t="s">
        <v>369</v>
      </c>
    </row>
    <row r="6" ht="36" customHeight="1" spans="1:5">
      <c r="A6" s="2" t="s">
        <v>370</v>
      </c>
      <c r="B6" s="2" t="s">
        <v>371</v>
      </c>
      <c r="C6" s="2" t="s">
        <v>372</v>
      </c>
      <c r="D6" s="2" t="s">
        <v>373</v>
      </c>
      <c r="E6" s="2" t="s">
        <v>374</v>
      </c>
    </row>
    <row r="7" ht="36" customHeight="1" spans="1:5">
      <c r="A7" s="2" t="s">
        <v>375</v>
      </c>
      <c r="B7" s="2" t="s">
        <v>363</v>
      </c>
      <c r="C7" s="2" t="s">
        <v>359</v>
      </c>
      <c r="D7" s="2" t="s">
        <v>376</v>
      </c>
      <c r="E7" s="2" t="s">
        <v>365</v>
      </c>
    </row>
    <row r="8" ht="36" customHeight="1" spans="1:5">
      <c r="A8" s="2" t="s">
        <v>377</v>
      </c>
      <c r="B8" s="2" t="s">
        <v>378</v>
      </c>
      <c r="C8" s="2" t="s">
        <v>354</v>
      </c>
      <c r="D8" s="2" t="s">
        <v>379</v>
      </c>
      <c r="E8" s="2" t="s">
        <v>380</v>
      </c>
    </row>
    <row r="9" ht="36" customHeight="1" spans="1:5">
      <c r="A9" s="2" t="s">
        <v>381</v>
      </c>
      <c r="B9" s="2" t="s">
        <v>382</v>
      </c>
      <c r="C9" s="2" t="s">
        <v>354</v>
      </c>
      <c r="D9" s="2" t="s">
        <v>383</v>
      </c>
      <c r="E9" s="2" t="s">
        <v>384</v>
      </c>
    </row>
    <row r="10" ht="36" customHeight="1" spans="1:5">
      <c r="A10" s="2" t="s">
        <v>385</v>
      </c>
      <c r="B10" s="2" t="s">
        <v>386</v>
      </c>
      <c r="C10" s="2" t="s">
        <v>354</v>
      </c>
      <c r="D10" s="2" t="s">
        <v>387</v>
      </c>
      <c r="E10" s="2" t="s">
        <v>388</v>
      </c>
    </row>
    <row r="11" ht="36" customHeight="1" spans="1:5">
      <c r="A11" s="2" t="s">
        <v>389</v>
      </c>
      <c r="B11" s="2" t="s">
        <v>390</v>
      </c>
      <c r="C11" s="2" t="s">
        <v>354</v>
      </c>
      <c r="D11" s="2" t="s">
        <v>391</v>
      </c>
      <c r="E11" s="2" t="s">
        <v>392</v>
      </c>
    </row>
    <row r="12" ht="36" customHeight="1" spans="1:5">
      <c r="A12" s="2" t="s">
        <v>393</v>
      </c>
      <c r="B12" s="2" t="s">
        <v>394</v>
      </c>
      <c r="C12" s="2" t="s">
        <v>354</v>
      </c>
      <c r="D12" s="2" t="s">
        <v>395</v>
      </c>
      <c r="E12" s="2" t="s">
        <v>396</v>
      </c>
    </row>
    <row r="13" ht="36" customHeight="1" spans="1:5">
      <c r="A13" s="2" t="s">
        <v>397</v>
      </c>
      <c r="B13" s="2" t="s">
        <v>398</v>
      </c>
      <c r="C13" s="2" t="s">
        <v>354</v>
      </c>
      <c r="D13" s="2" t="s">
        <v>399</v>
      </c>
      <c r="E13" s="2" t="s">
        <v>400</v>
      </c>
    </row>
    <row r="14" ht="36" customHeight="1" spans="1:5">
      <c r="A14" s="2" t="s">
        <v>401</v>
      </c>
      <c r="B14" s="2" t="s">
        <v>398</v>
      </c>
      <c r="C14" s="2" t="s">
        <v>354</v>
      </c>
      <c r="D14" s="2" t="s">
        <v>402</v>
      </c>
      <c r="E14" s="2" t="s">
        <v>403</v>
      </c>
    </row>
    <row r="15" ht="36" customHeight="1" spans="1:5">
      <c r="A15" s="2" t="s">
        <v>404</v>
      </c>
      <c r="B15" s="2" t="s">
        <v>398</v>
      </c>
      <c r="C15" s="2" t="s">
        <v>359</v>
      </c>
      <c r="D15" s="2" t="s">
        <v>405</v>
      </c>
      <c r="E15" s="2" t="s">
        <v>406</v>
      </c>
    </row>
    <row r="16" ht="36" customHeight="1" spans="1:5">
      <c r="A16" s="2" t="s">
        <v>407</v>
      </c>
      <c r="B16" s="2" t="s">
        <v>398</v>
      </c>
      <c r="C16" s="2" t="s">
        <v>354</v>
      </c>
      <c r="D16" s="2" t="s">
        <v>408</v>
      </c>
      <c r="E16" s="2" t="s">
        <v>409</v>
      </c>
    </row>
    <row r="17" ht="36" customHeight="1" spans="1:5">
      <c r="A17" s="2" t="s">
        <v>410</v>
      </c>
      <c r="B17" s="2" t="s">
        <v>390</v>
      </c>
      <c r="C17" s="2" t="s">
        <v>354</v>
      </c>
      <c r="D17" s="2" t="s">
        <v>411</v>
      </c>
      <c r="E17" s="2" t="s">
        <v>412</v>
      </c>
    </row>
    <row r="18" ht="36" customHeight="1" spans="1:5">
      <c r="A18" s="2" t="s">
        <v>413</v>
      </c>
      <c r="B18" s="2" t="s">
        <v>414</v>
      </c>
      <c r="C18" s="2" t="s">
        <v>354</v>
      </c>
      <c r="D18" s="2" t="s">
        <v>415</v>
      </c>
      <c r="E18" s="2" t="s">
        <v>416</v>
      </c>
    </row>
    <row r="19" ht="36" customHeight="1" spans="1:5">
      <c r="A19" s="2" t="s">
        <v>417</v>
      </c>
      <c r="B19" s="2" t="s">
        <v>418</v>
      </c>
      <c r="C19" s="2" t="s">
        <v>419</v>
      </c>
      <c r="D19" s="2" t="s">
        <v>420</v>
      </c>
      <c r="E19" s="2" t="s">
        <v>421</v>
      </c>
    </row>
    <row r="20" ht="36" customHeight="1" spans="1:5">
      <c r="A20" s="2" t="s">
        <v>422</v>
      </c>
      <c r="B20" s="2" t="s">
        <v>423</v>
      </c>
      <c r="C20" s="2" t="s">
        <v>419</v>
      </c>
      <c r="D20" s="2" t="s">
        <v>424</v>
      </c>
      <c r="E20" s="2" t="s">
        <v>425</v>
      </c>
    </row>
    <row r="21" ht="36" customHeight="1" spans="1:5">
      <c r="A21" s="2" t="s">
        <v>426</v>
      </c>
      <c r="B21" s="2" t="s">
        <v>427</v>
      </c>
      <c r="C21" s="2" t="s">
        <v>428</v>
      </c>
      <c r="D21" s="2" t="s">
        <v>429</v>
      </c>
      <c r="E21" s="2" t="s">
        <v>430</v>
      </c>
    </row>
    <row r="22" ht="36" customHeight="1" spans="1:5">
      <c r="A22" s="2" t="s">
        <v>431</v>
      </c>
      <c r="B22" s="2" t="s">
        <v>432</v>
      </c>
      <c r="C22" s="2" t="s">
        <v>428</v>
      </c>
      <c r="D22" s="2" t="s">
        <v>433</v>
      </c>
      <c r="E22" s="2" t="s">
        <v>434</v>
      </c>
    </row>
    <row r="23" ht="36" customHeight="1" spans="1:5">
      <c r="A23" s="2" t="s">
        <v>435</v>
      </c>
      <c r="B23" s="2" t="s">
        <v>436</v>
      </c>
      <c r="C23" s="2" t="s">
        <v>428</v>
      </c>
      <c r="D23" s="2" t="s">
        <v>437</v>
      </c>
      <c r="E23" s="2" t="s">
        <v>438</v>
      </c>
    </row>
    <row r="24" ht="36" customHeight="1" spans="1:5">
      <c r="A24" s="2" t="s">
        <v>439</v>
      </c>
      <c r="B24" s="2" t="s">
        <v>440</v>
      </c>
      <c r="C24" s="2" t="s">
        <v>428</v>
      </c>
      <c r="D24" s="2" t="s">
        <v>437</v>
      </c>
      <c r="E24" s="2" t="s">
        <v>441</v>
      </c>
    </row>
    <row r="25" ht="36" customHeight="1" spans="1:5">
      <c r="A25" s="2" t="s">
        <v>442</v>
      </c>
      <c r="B25" s="2" t="s">
        <v>443</v>
      </c>
      <c r="C25" s="2" t="s">
        <v>428</v>
      </c>
      <c r="D25" s="2" t="s">
        <v>444</v>
      </c>
      <c r="E25" s="2" t="s">
        <v>445</v>
      </c>
    </row>
    <row r="26" ht="36" customHeight="1" spans="1:5">
      <c r="A26" s="2" t="s">
        <v>446</v>
      </c>
      <c r="B26" s="2" t="s">
        <v>447</v>
      </c>
      <c r="C26" s="2" t="s">
        <v>428</v>
      </c>
      <c r="D26" s="2" t="s">
        <v>444</v>
      </c>
      <c r="E26" s="2" t="s">
        <v>448</v>
      </c>
    </row>
    <row r="27" ht="36" customHeight="1" spans="1:5">
      <c r="A27" s="2" t="s">
        <v>449</v>
      </c>
      <c r="B27" s="2" t="s">
        <v>450</v>
      </c>
      <c r="C27" s="2" t="s">
        <v>451</v>
      </c>
      <c r="D27" s="2" t="s">
        <v>452</v>
      </c>
      <c r="E27" s="2" t="s">
        <v>453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C10" sqref="C10"/>
    </sheetView>
  </sheetViews>
  <sheetFormatPr defaultColWidth="9" defaultRowHeight="16.8" outlineLevelRow="5" outlineLevelCol="5"/>
  <cols>
    <col min="1" max="2" width="20" customWidth="1"/>
    <col min="3" max="3" width="22" customWidth="1"/>
    <col min="4" max="4" width="30" customWidth="1"/>
    <col min="5" max="5" width="28" customWidth="1"/>
    <col min="6" max="6" width="60" customWidth="1"/>
  </cols>
  <sheetData>
    <row r="1" ht="17" spans="1:6">
      <c r="A1" s="1" t="s">
        <v>347</v>
      </c>
      <c r="B1" s="1" t="s">
        <v>454</v>
      </c>
      <c r="C1" s="1" t="s">
        <v>455</v>
      </c>
      <c r="D1" s="1" t="s">
        <v>456</v>
      </c>
      <c r="E1" s="1" t="s">
        <v>457</v>
      </c>
      <c r="F1" s="1" t="s">
        <v>458</v>
      </c>
    </row>
    <row r="2" ht="48" customHeight="1" spans="1:6">
      <c r="A2" s="2" t="s">
        <v>435</v>
      </c>
      <c r="B2" s="2" t="s">
        <v>72</v>
      </c>
      <c r="C2" s="2" t="s">
        <v>459</v>
      </c>
      <c r="D2" s="2" t="s">
        <v>460</v>
      </c>
      <c r="E2" s="2" t="s">
        <v>461</v>
      </c>
      <c r="F2" s="2" t="s">
        <v>462</v>
      </c>
    </row>
    <row r="3" ht="48" customHeight="1" spans="1:6">
      <c r="A3" s="2" t="s">
        <v>442</v>
      </c>
      <c r="B3" s="2" t="s">
        <v>72</v>
      </c>
      <c r="C3" s="2" t="s">
        <v>463</v>
      </c>
      <c r="D3" s="2" t="s">
        <v>464</v>
      </c>
      <c r="E3" s="2" t="s">
        <v>465</v>
      </c>
      <c r="F3" s="2" t="s">
        <v>466</v>
      </c>
    </row>
    <row r="4" ht="48" customHeight="1" spans="1:6">
      <c r="A4" s="2" t="s">
        <v>446</v>
      </c>
      <c r="B4" s="2" t="s">
        <v>72</v>
      </c>
      <c r="C4" s="2" t="s">
        <v>467</v>
      </c>
      <c r="D4" s="2" t="s">
        <v>464</v>
      </c>
      <c r="E4" s="2" t="s">
        <v>468</v>
      </c>
      <c r="F4" s="2" t="s">
        <v>469</v>
      </c>
    </row>
    <row r="5" ht="48" customHeight="1" spans="1:6">
      <c r="A5" s="2" t="s">
        <v>449</v>
      </c>
      <c r="B5" s="2" t="s">
        <v>72</v>
      </c>
      <c r="C5" s="2" t="s">
        <v>470</v>
      </c>
      <c r="D5" s="2" t="s">
        <v>471</v>
      </c>
      <c r="E5" s="2" t="s">
        <v>472</v>
      </c>
      <c r="F5" s="2" t="s">
        <v>473</v>
      </c>
    </row>
    <row r="6" ht="48" customHeight="1" spans="1:6">
      <c r="A6" s="2" t="s">
        <v>439</v>
      </c>
      <c r="B6" s="2" t="s">
        <v>72</v>
      </c>
      <c r="C6" s="2" t="s">
        <v>474</v>
      </c>
      <c r="D6" s="2" t="s">
        <v>475</v>
      </c>
      <c r="E6" s="2" t="s">
        <v>476</v>
      </c>
      <c r="F6" s="2" t="s">
        <v>477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opLeftCell="B1" workbookViewId="0">
      <selection activeCell="F13" sqref="F13"/>
    </sheetView>
  </sheetViews>
  <sheetFormatPr defaultColWidth="9" defaultRowHeight="16.8" outlineLevelCol="5"/>
  <cols>
    <col min="1" max="1" width="18" customWidth="1"/>
    <col min="2" max="2" width="22" customWidth="1"/>
    <col min="3" max="3" width="12" customWidth="1"/>
    <col min="4" max="4" width="45" customWidth="1"/>
    <col min="5" max="5" width="35" customWidth="1"/>
    <col min="6" max="6" width="55" customWidth="1"/>
  </cols>
  <sheetData>
    <row r="1" ht="17" spans="1:6">
      <c r="A1" s="1" t="s">
        <v>478</v>
      </c>
      <c r="B1" s="1" t="s">
        <v>479</v>
      </c>
      <c r="C1" s="1" t="s">
        <v>480</v>
      </c>
      <c r="D1" s="1" t="s">
        <v>481</v>
      </c>
      <c r="E1" s="1" t="s">
        <v>482</v>
      </c>
      <c r="F1" s="1" t="s">
        <v>267</v>
      </c>
    </row>
    <row r="2" ht="44" customHeight="1" spans="1:6">
      <c r="A2" s="2" t="s">
        <v>483</v>
      </c>
      <c r="B2" s="2" t="s">
        <v>215</v>
      </c>
      <c r="C2" s="2" t="s">
        <v>484</v>
      </c>
      <c r="D2" s="2" t="s">
        <v>485</v>
      </c>
      <c r="E2" s="2" t="s">
        <v>486</v>
      </c>
      <c r="F2" s="2" t="s">
        <v>487</v>
      </c>
    </row>
    <row r="3" ht="44" customHeight="1" spans="1:6">
      <c r="A3" s="2" t="s">
        <v>488</v>
      </c>
      <c r="B3" s="2" t="s">
        <v>215</v>
      </c>
      <c r="C3" s="2" t="s">
        <v>484</v>
      </c>
      <c r="D3" s="2" t="s">
        <v>489</v>
      </c>
      <c r="E3" s="2" t="s">
        <v>486</v>
      </c>
      <c r="F3" s="2" t="s">
        <v>490</v>
      </c>
    </row>
    <row r="4" ht="44" customHeight="1" spans="1:6">
      <c r="A4" s="2" t="s">
        <v>491</v>
      </c>
      <c r="B4" s="2" t="s">
        <v>193</v>
      </c>
      <c r="C4" s="2" t="s">
        <v>492</v>
      </c>
      <c r="D4" s="2" t="s">
        <v>493</v>
      </c>
      <c r="E4" s="2" t="s">
        <v>494</v>
      </c>
      <c r="F4" s="2" t="s">
        <v>495</v>
      </c>
    </row>
    <row r="5" ht="44" customHeight="1" spans="1:6">
      <c r="A5" s="2" t="s">
        <v>496</v>
      </c>
      <c r="B5" s="2" t="s">
        <v>66</v>
      </c>
      <c r="C5" s="2" t="s">
        <v>484</v>
      </c>
      <c r="D5" s="2" t="s">
        <v>497</v>
      </c>
      <c r="E5" s="2" t="s">
        <v>498</v>
      </c>
      <c r="F5" s="2" t="s">
        <v>499</v>
      </c>
    </row>
    <row r="6" ht="44" customHeight="1" spans="1:6">
      <c r="A6" s="2" t="s">
        <v>500</v>
      </c>
      <c r="B6" s="2" t="s">
        <v>95</v>
      </c>
      <c r="C6" s="2" t="s">
        <v>484</v>
      </c>
      <c r="D6" s="2" t="s">
        <v>501</v>
      </c>
      <c r="E6" s="2" t="s">
        <v>502</v>
      </c>
      <c r="F6" s="2" t="s">
        <v>503</v>
      </c>
    </row>
    <row r="7" ht="44" customHeight="1" spans="1:6">
      <c r="A7" s="2" t="s">
        <v>504</v>
      </c>
      <c r="B7" s="2" t="s">
        <v>171</v>
      </c>
      <c r="C7" s="2" t="s">
        <v>505</v>
      </c>
      <c r="D7" s="2" t="s">
        <v>506</v>
      </c>
      <c r="E7" s="2" t="s">
        <v>498</v>
      </c>
      <c r="F7" s="2" t="s">
        <v>507</v>
      </c>
    </row>
    <row r="8" ht="44" customHeight="1" spans="1:6">
      <c r="A8" s="2" t="s">
        <v>146</v>
      </c>
      <c r="B8" s="2" t="s">
        <v>146</v>
      </c>
      <c r="C8" s="2" t="s">
        <v>505</v>
      </c>
      <c r="D8" s="2" t="s">
        <v>508</v>
      </c>
      <c r="E8" s="2" t="s">
        <v>498</v>
      </c>
      <c r="F8" s="2" t="s">
        <v>507</v>
      </c>
    </row>
    <row r="9" ht="44" customHeight="1" spans="1:6">
      <c r="A9" s="2" t="s">
        <v>509</v>
      </c>
      <c r="B9" s="2" t="s">
        <v>119</v>
      </c>
      <c r="C9" s="2" t="s">
        <v>505</v>
      </c>
      <c r="D9" s="2" t="s">
        <v>510</v>
      </c>
      <c r="E9" s="2" t="s">
        <v>511</v>
      </c>
      <c r="F9" s="2" t="s">
        <v>512</v>
      </c>
    </row>
  </sheetData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C17" sqref="C17"/>
    </sheetView>
  </sheetViews>
  <sheetFormatPr defaultColWidth="9" defaultRowHeight="16.8" outlineLevelRow="5" outlineLevelCol="3"/>
  <cols>
    <col min="1" max="1" width="22" customWidth="1"/>
    <col min="2" max="2" width="28" customWidth="1"/>
    <col min="3" max="3" width="46" customWidth="1"/>
    <col min="4" max="4" width="60" customWidth="1"/>
  </cols>
  <sheetData>
    <row r="1" ht="17" spans="1:4">
      <c r="A1" s="1" t="s">
        <v>513</v>
      </c>
      <c r="B1" s="1" t="s">
        <v>514</v>
      </c>
      <c r="C1" s="1" t="s">
        <v>515</v>
      </c>
      <c r="D1" s="1" t="s">
        <v>351</v>
      </c>
    </row>
    <row r="2" ht="17" customHeight="1" spans="1:4">
      <c r="A2" s="7" t="s">
        <v>516</v>
      </c>
      <c r="B2" s="7" t="s">
        <v>517</v>
      </c>
      <c r="C2" s="7" t="s">
        <v>518</v>
      </c>
      <c r="D2" s="7" t="s">
        <v>519</v>
      </c>
    </row>
    <row r="3" spans="1:4">
      <c r="A3" s="8" t="s">
        <v>516</v>
      </c>
      <c r="B3" s="8" t="s">
        <v>520</v>
      </c>
      <c r="C3" s="8" t="s">
        <v>521</v>
      </c>
      <c r="D3" s="8"/>
    </row>
    <row r="4" spans="1:4">
      <c r="A4" s="8" t="s">
        <v>516</v>
      </c>
      <c r="B4" s="8" t="s">
        <v>522</v>
      </c>
      <c r="C4" s="8" t="s">
        <v>523</v>
      </c>
      <c r="D4" s="8"/>
    </row>
    <row r="5" spans="1:4">
      <c r="A5" s="8" t="s">
        <v>516</v>
      </c>
      <c r="B5" s="8" t="s">
        <v>524</v>
      </c>
      <c r="C5" s="8" t="s">
        <v>525</v>
      </c>
      <c r="D5" s="8"/>
    </row>
    <row r="6" spans="1:4">
      <c r="A6" s="8" t="s">
        <v>516</v>
      </c>
      <c r="B6" s="8" t="s">
        <v>526</v>
      </c>
      <c r="C6" s="8" t="s">
        <v>527</v>
      </c>
      <c r="D6" s="8"/>
    </row>
  </sheetData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Q30" sqref="Q30"/>
    </sheetView>
  </sheetViews>
  <sheetFormatPr defaultColWidth="9" defaultRowHeight="16.8" outlineLevelRow="5" outlineLevelCol="6"/>
  <cols>
    <col min="1" max="1" width="18" customWidth="1"/>
    <col min="2" max="2" width="52" customWidth="1"/>
    <col min="3" max="3" width="48" customWidth="1"/>
    <col min="4" max="4" width="34" customWidth="1"/>
    <col min="5" max="5" width="70" customWidth="1"/>
    <col min="6" max="6" width="45" customWidth="1"/>
    <col min="7" max="7" width="16" customWidth="1"/>
  </cols>
  <sheetData>
    <row r="1" ht="17" spans="1:7">
      <c r="A1" s="6" t="s">
        <v>528</v>
      </c>
      <c r="B1" s="6" t="s">
        <v>529</v>
      </c>
      <c r="C1" s="6" t="s">
        <v>530</v>
      </c>
      <c r="D1" s="6" t="s">
        <v>531</v>
      </c>
      <c r="E1" s="6" t="s">
        <v>532</v>
      </c>
      <c r="F1" s="6" t="s">
        <v>267</v>
      </c>
      <c r="G1" s="6" t="s">
        <v>533</v>
      </c>
    </row>
    <row r="2" ht="51" spans="1:7">
      <c r="A2" s="2" t="s">
        <v>534</v>
      </c>
      <c r="B2" s="2" t="s">
        <v>535</v>
      </c>
      <c r="C2" s="2" t="s">
        <v>536</v>
      </c>
      <c r="D2" s="2" t="s">
        <v>274</v>
      </c>
      <c r="E2" s="2" t="s">
        <v>32</v>
      </c>
      <c r="F2" s="2" t="s">
        <v>537</v>
      </c>
      <c r="G2" s="2" t="s">
        <v>538</v>
      </c>
    </row>
    <row r="3" ht="34" spans="1:7">
      <c r="A3" s="2" t="s">
        <v>539</v>
      </c>
      <c r="B3" s="2" t="s">
        <v>540</v>
      </c>
      <c r="C3" s="2" t="s">
        <v>541</v>
      </c>
      <c r="D3" s="2" t="s">
        <v>542</v>
      </c>
      <c r="E3" s="2" t="s">
        <v>34</v>
      </c>
      <c r="F3" s="2" t="s">
        <v>543</v>
      </c>
      <c r="G3" s="2" t="s">
        <v>538</v>
      </c>
    </row>
    <row r="4" ht="34" spans="1:7">
      <c r="A4" s="2" t="s">
        <v>544</v>
      </c>
      <c r="B4" s="2" t="s">
        <v>545</v>
      </c>
      <c r="C4" s="2" t="s">
        <v>546</v>
      </c>
      <c r="D4" s="2" t="s">
        <v>274</v>
      </c>
      <c r="E4" s="2" t="s">
        <v>547</v>
      </c>
      <c r="F4" s="2" t="s">
        <v>548</v>
      </c>
      <c r="G4" s="2" t="s">
        <v>538</v>
      </c>
    </row>
    <row r="5" ht="34" spans="1:7">
      <c r="A5" s="2" t="s">
        <v>549</v>
      </c>
      <c r="B5" s="2" t="s">
        <v>550</v>
      </c>
      <c r="C5" s="2" t="s">
        <v>551</v>
      </c>
      <c r="D5" s="2" t="s">
        <v>296</v>
      </c>
      <c r="E5" s="2" t="s">
        <v>34</v>
      </c>
      <c r="F5" s="2" t="s">
        <v>552</v>
      </c>
      <c r="G5" s="2" t="s">
        <v>553</v>
      </c>
    </row>
    <row r="6" ht="34" spans="1:7">
      <c r="A6" s="2" t="s">
        <v>554</v>
      </c>
      <c r="B6" s="2" t="s">
        <v>555</v>
      </c>
      <c r="C6" s="2" t="s">
        <v>556</v>
      </c>
      <c r="D6" s="2" t="s">
        <v>301</v>
      </c>
      <c r="E6" s="2" t="s">
        <v>557</v>
      </c>
      <c r="F6" s="2" t="s">
        <v>558</v>
      </c>
      <c r="G6" s="2" t="s">
        <v>559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C9" sqref="C9"/>
    </sheetView>
  </sheetViews>
  <sheetFormatPr defaultColWidth="9" defaultRowHeight="16.8" outlineLevelRow="5" outlineLevelCol="6"/>
  <cols>
    <col min="1" max="2" width="24" customWidth="1"/>
    <col min="3" max="3" width="50" customWidth="1"/>
    <col min="4" max="4" width="46" customWidth="1"/>
    <col min="5" max="5" width="40" customWidth="1"/>
    <col min="6" max="6" width="48" customWidth="1"/>
    <col min="7" max="7" width="50" customWidth="1"/>
  </cols>
  <sheetData>
    <row r="1" ht="66" customHeight="1" spans="1:7">
      <c r="A1" s="4" t="s">
        <v>560</v>
      </c>
      <c r="B1" s="4" t="s">
        <v>561</v>
      </c>
      <c r="C1" s="4" t="s">
        <v>263</v>
      </c>
      <c r="D1" s="4" t="s">
        <v>562</v>
      </c>
      <c r="E1" s="4" t="s">
        <v>563</v>
      </c>
      <c r="F1" s="4" t="s">
        <v>564</v>
      </c>
      <c r="G1" s="4" t="s">
        <v>565</v>
      </c>
    </row>
    <row r="2" ht="66" customHeight="1" spans="1:7">
      <c r="A2" s="5" t="s">
        <v>323</v>
      </c>
      <c r="B2" s="5" t="s">
        <v>566</v>
      </c>
      <c r="C2" s="5" t="s">
        <v>567</v>
      </c>
      <c r="D2" s="5" t="s">
        <v>568</v>
      </c>
      <c r="E2" s="5" t="s">
        <v>569</v>
      </c>
      <c r="F2" s="5" t="s">
        <v>570</v>
      </c>
      <c r="G2" s="5" t="s">
        <v>571</v>
      </c>
    </row>
    <row r="3" ht="66" customHeight="1" spans="1:7">
      <c r="A3" s="5" t="s">
        <v>329</v>
      </c>
      <c r="B3" s="5" t="s">
        <v>572</v>
      </c>
      <c r="C3" s="5" t="s">
        <v>573</v>
      </c>
      <c r="D3" s="5" t="s">
        <v>574</v>
      </c>
      <c r="E3" s="5" t="s">
        <v>575</v>
      </c>
      <c r="F3" s="5" t="s">
        <v>576</v>
      </c>
      <c r="G3" s="5" t="s">
        <v>577</v>
      </c>
    </row>
    <row r="4" ht="66" customHeight="1" spans="1:7">
      <c r="A4" s="5" t="s">
        <v>335</v>
      </c>
      <c r="B4" s="5" t="s">
        <v>578</v>
      </c>
      <c r="C4" s="5" t="s">
        <v>579</v>
      </c>
      <c r="D4" s="5" t="s">
        <v>580</v>
      </c>
      <c r="E4" s="5" t="s">
        <v>581</v>
      </c>
      <c r="F4" s="5" t="s">
        <v>582</v>
      </c>
      <c r="G4" s="5" t="s">
        <v>583</v>
      </c>
    </row>
    <row r="5" ht="66" customHeight="1" spans="1:7">
      <c r="A5" s="5" t="s">
        <v>341</v>
      </c>
      <c r="B5" s="5" t="s">
        <v>584</v>
      </c>
      <c r="C5" s="5" t="s">
        <v>585</v>
      </c>
      <c r="D5" s="5" t="s">
        <v>586</v>
      </c>
      <c r="E5" s="5" t="s">
        <v>587</v>
      </c>
      <c r="F5" s="5" t="s">
        <v>588</v>
      </c>
      <c r="G5" s="5" t="s">
        <v>571</v>
      </c>
    </row>
    <row r="6" ht="66" customHeight="1" spans="1:7">
      <c r="A6" s="5" t="s">
        <v>589</v>
      </c>
      <c r="B6" s="5" t="s">
        <v>590</v>
      </c>
      <c r="C6" s="5" t="s">
        <v>591</v>
      </c>
      <c r="D6" s="5" t="s">
        <v>592</v>
      </c>
      <c r="E6" s="5" t="s">
        <v>593</v>
      </c>
      <c r="F6" s="5" t="s">
        <v>594</v>
      </c>
      <c r="G6" s="5" t="s">
        <v>595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1"/>
  <sheetViews>
    <sheetView topLeftCell="A11" workbookViewId="0">
      <selection activeCell="K11" sqref="K11"/>
    </sheetView>
  </sheetViews>
  <sheetFormatPr defaultColWidth="9" defaultRowHeight="16.8"/>
  <cols>
    <col min="1" max="1" width="11.0294117647059" customWidth="1"/>
    <col min="2" max="2" width="14.9485294117647" customWidth="1"/>
    <col min="3" max="8" width="5.51470588235294" customWidth="1"/>
    <col min="9" max="9" width="16" customWidth="1"/>
    <col min="10" max="10" width="17.7647058823529" customWidth="1"/>
    <col min="11" max="11" width="27.4485294117647" customWidth="1"/>
    <col min="12" max="12" width="67.7647058823529" customWidth="1"/>
    <col min="14" max="14" width="18" customWidth="1"/>
    <col min="15" max="15" width="60" customWidth="1"/>
  </cols>
  <sheetData>
    <row r="1" ht="66" customHeight="1" spans="1:15">
      <c r="A1" s="1" t="s">
        <v>48</v>
      </c>
      <c r="B1" s="1" t="s">
        <v>49</v>
      </c>
      <c r="C1" s="1" t="s">
        <v>596</v>
      </c>
      <c r="D1" s="1" t="s">
        <v>597</v>
      </c>
      <c r="E1" s="1" t="s">
        <v>598</v>
      </c>
      <c r="F1" s="1" t="s">
        <v>599</v>
      </c>
      <c r="G1" s="1" t="s">
        <v>600</v>
      </c>
      <c r="H1" s="1" t="s">
        <v>601</v>
      </c>
      <c r="I1" s="1" t="s">
        <v>602</v>
      </c>
      <c r="J1" s="1" t="s">
        <v>603</v>
      </c>
      <c r="K1" s="1" t="s">
        <v>604</v>
      </c>
      <c r="L1" s="1" t="s">
        <v>605</v>
      </c>
      <c r="N1" s="3" t="s">
        <v>604</v>
      </c>
      <c r="O1" s="3" t="s">
        <v>606</v>
      </c>
    </row>
    <row r="2" ht="15" customHeight="1" spans="1:15">
      <c r="A2" s="2" t="s">
        <v>215</v>
      </c>
      <c r="B2" s="2" t="s">
        <v>225</v>
      </c>
      <c r="C2" s="2">
        <v>53.3</v>
      </c>
      <c r="D2" s="2">
        <v>31</v>
      </c>
      <c r="E2" s="2">
        <v>22.3</v>
      </c>
      <c r="F2" s="2">
        <v>9.7</v>
      </c>
      <c r="G2" s="2">
        <v>4</v>
      </c>
      <c r="H2" s="2">
        <v>0</v>
      </c>
      <c r="I2" s="2" t="s">
        <v>269</v>
      </c>
      <c r="J2" s="2" t="s">
        <v>70</v>
      </c>
      <c r="K2" s="2" t="s">
        <v>607</v>
      </c>
      <c r="L2" s="2" t="s">
        <v>608</v>
      </c>
      <c r="N2" s="2" t="s">
        <v>609</v>
      </c>
      <c r="O2" s="2" t="s">
        <v>610</v>
      </c>
    </row>
    <row r="3" ht="15" customHeight="1" spans="1:15">
      <c r="A3" s="2" t="s">
        <v>215</v>
      </c>
      <c r="B3" s="2" t="s">
        <v>233</v>
      </c>
      <c r="C3" s="2">
        <v>42.8</v>
      </c>
      <c r="D3" s="2">
        <v>34.8</v>
      </c>
      <c r="E3" s="2">
        <v>8</v>
      </c>
      <c r="F3" s="2">
        <v>8</v>
      </c>
      <c r="G3" s="2">
        <v>4</v>
      </c>
      <c r="H3" s="2">
        <v>1.5</v>
      </c>
      <c r="I3" s="2" t="s">
        <v>269</v>
      </c>
      <c r="J3" s="2" t="s">
        <v>306</v>
      </c>
      <c r="K3" s="2" t="s">
        <v>607</v>
      </c>
      <c r="L3" s="2" t="s">
        <v>611</v>
      </c>
      <c r="N3" s="2" t="s">
        <v>612</v>
      </c>
      <c r="O3" s="2" t="s">
        <v>613</v>
      </c>
    </row>
    <row r="4" ht="15" customHeight="1" spans="1:15">
      <c r="A4" s="2" t="s">
        <v>215</v>
      </c>
      <c r="B4" s="2" t="s">
        <v>221</v>
      </c>
      <c r="C4" s="2">
        <v>45</v>
      </c>
      <c r="D4" s="2">
        <v>35</v>
      </c>
      <c r="E4" s="2">
        <v>10</v>
      </c>
      <c r="F4" s="2">
        <v>0</v>
      </c>
      <c r="G4" s="2">
        <v>4</v>
      </c>
      <c r="H4" s="2">
        <v>1</v>
      </c>
      <c r="I4" s="2" t="s">
        <v>269</v>
      </c>
      <c r="J4" s="2" t="s">
        <v>341</v>
      </c>
      <c r="K4" s="2" t="s">
        <v>607</v>
      </c>
      <c r="L4" s="2" t="s">
        <v>614</v>
      </c>
      <c r="N4" s="2" t="s">
        <v>615</v>
      </c>
      <c r="O4" s="2" t="s">
        <v>616</v>
      </c>
    </row>
    <row r="5" ht="15" customHeight="1" spans="1:15">
      <c r="A5" s="2" t="s">
        <v>215</v>
      </c>
      <c r="B5" s="2" t="s">
        <v>252</v>
      </c>
      <c r="C5" s="2">
        <v>35</v>
      </c>
      <c r="D5" s="2">
        <v>35</v>
      </c>
      <c r="E5" s="2">
        <v>0</v>
      </c>
      <c r="F5" s="2">
        <v>0</v>
      </c>
      <c r="G5" s="2">
        <v>4</v>
      </c>
      <c r="H5" s="2">
        <v>1</v>
      </c>
      <c r="I5" s="2" t="s">
        <v>269</v>
      </c>
      <c r="J5" s="2" t="s">
        <v>323</v>
      </c>
      <c r="K5" s="2" t="s">
        <v>617</v>
      </c>
      <c r="L5" s="2" t="s">
        <v>618</v>
      </c>
      <c r="N5" s="2" t="s">
        <v>619</v>
      </c>
      <c r="O5" s="2" t="s">
        <v>620</v>
      </c>
    </row>
    <row r="6" ht="15" customHeight="1" spans="1:15">
      <c r="A6" s="2" t="s">
        <v>215</v>
      </c>
      <c r="B6" s="2" t="s">
        <v>248</v>
      </c>
      <c r="C6" s="2">
        <v>43.5</v>
      </c>
      <c r="D6" s="2">
        <v>30.4</v>
      </c>
      <c r="E6" s="2">
        <v>13.1</v>
      </c>
      <c r="F6" s="2">
        <v>8.1</v>
      </c>
      <c r="G6" s="2">
        <v>4</v>
      </c>
      <c r="H6" s="2">
        <v>0</v>
      </c>
      <c r="I6" s="2" t="s">
        <v>269</v>
      </c>
      <c r="J6" s="2" t="s">
        <v>70</v>
      </c>
      <c r="K6" s="2" t="s">
        <v>607</v>
      </c>
      <c r="L6" s="2" t="s">
        <v>621</v>
      </c>
      <c r="N6" s="2" t="s">
        <v>622</v>
      </c>
      <c r="O6" s="2" t="s">
        <v>623</v>
      </c>
    </row>
    <row r="7" ht="15" customHeight="1" spans="1:15">
      <c r="A7" s="2" t="s">
        <v>215</v>
      </c>
      <c r="B7" s="2" t="s">
        <v>243</v>
      </c>
      <c r="C7" s="2">
        <v>48.5</v>
      </c>
      <c r="D7" s="2">
        <v>34.4</v>
      </c>
      <c r="E7" s="2">
        <v>14.1</v>
      </c>
      <c r="F7" s="2">
        <v>8.1</v>
      </c>
      <c r="G7" s="2">
        <v>4</v>
      </c>
      <c r="H7" s="2">
        <v>0</v>
      </c>
      <c r="I7" s="2" t="s">
        <v>269</v>
      </c>
      <c r="J7" s="2" t="s">
        <v>70</v>
      </c>
      <c r="K7" s="2" t="s">
        <v>607</v>
      </c>
      <c r="L7" s="2" t="s">
        <v>624</v>
      </c>
      <c r="N7" s="2" t="s">
        <v>625</v>
      </c>
      <c r="O7" s="2" t="s">
        <v>626</v>
      </c>
    </row>
    <row r="8" ht="15" customHeight="1" spans="1:12">
      <c r="A8" s="2" t="s">
        <v>215</v>
      </c>
      <c r="B8" s="2" t="s">
        <v>216</v>
      </c>
      <c r="C8" s="2">
        <v>45.5</v>
      </c>
      <c r="D8" s="2">
        <v>35.4</v>
      </c>
      <c r="E8" s="2">
        <v>10.1</v>
      </c>
      <c r="F8" s="2">
        <v>0</v>
      </c>
      <c r="G8" s="2">
        <v>4</v>
      </c>
      <c r="H8" s="2">
        <v>0</v>
      </c>
      <c r="I8" s="2" t="s">
        <v>269</v>
      </c>
      <c r="J8" s="2" t="s">
        <v>70</v>
      </c>
      <c r="K8" s="2" t="s">
        <v>617</v>
      </c>
      <c r="L8" s="2" t="s">
        <v>618</v>
      </c>
    </row>
    <row r="9" ht="15" customHeight="1" spans="1:12">
      <c r="A9" s="2" t="s">
        <v>215</v>
      </c>
      <c r="B9" s="2" t="s">
        <v>239</v>
      </c>
      <c r="C9" s="2">
        <v>37.3</v>
      </c>
      <c r="D9" s="2">
        <v>37.3</v>
      </c>
      <c r="E9" s="2">
        <v>0</v>
      </c>
      <c r="F9" s="2">
        <v>0</v>
      </c>
      <c r="G9" s="2">
        <v>4</v>
      </c>
      <c r="H9" s="2">
        <v>0</v>
      </c>
      <c r="I9" s="2" t="s">
        <v>269</v>
      </c>
      <c r="J9" s="2" t="s">
        <v>70</v>
      </c>
      <c r="K9" s="2" t="s">
        <v>617</v>
      </c>
      <c r="L9" s="2" t="s">
        <v>618</v>
      </c>
    </row>
    <row r="10" ht="15" customHeight="1" spans="1:12">
      <c r="A10" s="2" t="s">
        <v>215</v>
      </c>
      <c r="B10" s="2" t="s">
        <v>257</v>
      </c>
      <c r="C10" s="2">
        <v>40.4</v>
      </c>
      <c r="D10" s="2">
        <v>40.4</v>
      </c>
      <c r="E10" s="2">
        <v>0</v>
      </c>
      <c r="F10" s="2">
        <v>0</v>
      </c>
      <c r="G10" s="2">
        <v>4</v>
      </c>
      <c r="H10" s="2">
        <v>0</v>
      </c>
      <c r="I10" s="2" t="s">
        <v>269</v>
      </c>
      <c r="J10" s="2" t="s">
        <v>70</v>
      </c>
      <c r="K10" s="2" t="s">
        <v>617</v>
      </c>
      <c r="L10" s="2" t="s">
        <v>618</v>
      </c>
    </row>
    <row r="11" ht="15" customHeight="1" spans="1:12">
      <c r="A11" s="2" t="s">
        <v>215</v>
      </c>
      <c r="B11" s="2" t="s">
        <v>229</v>
      </c>
      <c r="C11" s="2">
        <v>39.2</v>
      </c>
      <c r="D11" s="2">
        <v>39.2</v>
      </c>
      <c r="E11" s="2">
        <v>0</v>
      </c>
      <c r="F11" s="2">
        <v>0</v>
      </c>
      <c r="G11" s="2">
        <v>4</v>
      </c>
      <c r="H11" s="2">
        <v>0</v>
      </c>
      <c r="I11" s="2" t="s">
        <v>269</v>
      </c>
      <c r="J11" s="2" t="s">
        <v>70</v>
      </c>
      <c r="K11" s="2" t="s">
        <v>617</v>
      </c>
      <c r="L11" s="2" t="s">
        <v>618</v>
      </c>
    </row>
    <row r="12" ht="15" customHeight="1" spans="1:12">
      <c r="A12" s="2" t="s">
        <v>193</v>
      </c>
      <c r="B12" s="2" t="s">
        <v>199</v>
      </c>
      <c r="C12" s="2">
        <v>49.5</v>
      </c>
      <c r="D12" s="2">
        <v>39.6</v>
      </c>
      <c r="E12" s="2">
        <v>9.9</v>
      </c>
      <c r="F12" s="2">
        <v>0</v>
      </c>
      <c r="G12" s="2">
        <v>4</v>
      </c>
      <c r="H12" s="2">
        <v>0</v>
      </c>
      <c r="I12" s="2" t="s">
        <v>274</v>
      </c>
      <c r="J12" s="2" t="s">
        <v>70</v>
      </c>
      <c r="K12" s="2" t="s">
        <v>607</v>
      </c>
      <c r="L12" s="2" t="s">
        <v>627</v>
      </c>
    </row>
    <row r="13" ht="15" customHeight="1" spans="1:12">
      <c r="A13" s="2" t="s">
        <v>193</v>
      </c>
      <c r="B13" s="2" t="s">
        <v>211</v>
      </c>
      <c r="C13" s="2">
        <v>41.3</v>
      </c>
      <c r="D13" s="2">
        <v>41.3</v>
      </c>
      <c r="E13" s="2">
        <v>0</v>
      </c>
      <c r="F13" s="2">
        <v>0</v>
      </c>
      <c r="G13" s="2">
        <v>4</v>
      </c>
      <c r="H13" s="2">
        <v>0</v>
      </c>
      <c r="I13" s="2" t="s">
        <v>274</v>
      </c>
      <c r="J13" s="2" t="s">
        <v>70</v>
      </c>
      <c r="K13" s="2" t="s">
        <v>617</v>
      </c>
      <c r="L13" s="2" t="s">
        <v>618</v>
      </c>
    </row>
    <row r="14" ht="15" customHeight="1" spans="1:12">
      <c r="A14" s="2" t="s">
        <v>193</v>
      </c>
      <c r="B14" s="2" t="s">
        <v>207</v>
      </c>
      <c r="C14" s="2">
        <v>35.4</v>
      </c>
      <c r="D14" s="2">
        <v>35.4</v>
      </c>
      <c r="E14" s="2">
        <v>0</v>
      </c>
      <c r="F14" s="2">
        <v>0</v>
      </c>
      <c r="G14" s="2">
        <v>4</v>
      </c>
      <c r="H14" s="2">
        <v>0</v>
      </c>
      <c r="I14" s="2" t="s">
        <v>274</v>
      </c>
      <c r="J14" s="2" t="s">
        <v>70</v>
      </c>
      <c r="K14" s="2" t="s">
        <v>617</v>
      </c>
      <c r="L14" s="2" t="s">
        <v>618</v>
      </c>
    </row>
    <row r="15" ht="15" customHeight="1" spans="1:12">
      <c r="A15" s="2" t="s">
        <v>193</v>
      </c>
      <c r="B15" s="2" t="s">
        <v>194</v>
      </c>
      <c r="C15" s="2">
        <v>38.4</v>
      </c>
      <c r="D15" s="2">
        <v>38.4</v>
      </c>
      <c r="E15" s="2">
        <v>0</v>
      </c>
      <c r="F15" s="2">
        <v>0</v>
      </c>
      <c r="G15" s="2">
        <v>4</v>
      </c>
      <c r="H15" s="2">
        <v>0</v>
      </c>
      <c r="I15" s="2" t="s">
        <v>274</v>
      </c>
      <c r="J15" s="2" t="s">
        <v>70</v>
      </c>
      <c r="K15" s="2" t="s">
        <v>617</v>
      </c>
      <c r="L15" s="2" t="s">
        <v>618</v>
      </c>
    </row>
    <row r="16" ht="15" customHeight="1" spans="1:12">
      <c r="A16" s="2" t="s">
        <v>193</v>
      </c>
      <c r="B16" s="2" t="s">
        <v>203</v>
      </c>
      <c r="C16" s="2">
        <v>35.4</v>
      </c>
      <c r="D16" s="2">
        <v>35.4</v>
      </c>
      <c r="E16" s="2">
        <v>0</v>
      </c>
      <c r="F16" s="2">
        <v>0</v>
      </c>
      <c r="G16" s="2">
        <v>4</v>
      </c>
      <c r="H16" s="2">
        <v>0</v>
      </c>
      <c r="I16" s="2" t="s">
        <v>274</v>
      </c>
      <c r="J16" s="2" t="s">
        <v>70</v>
      </c>
      <c r="K16" s="2" t="s">
        <v>607</v>
      </c>
      <c r="L16" s="2" t="s">
        <v>628</v>
      </c>
    </row>
    <row r="17" ht="15" customHeight="1" spans="1:12">
      <c r="A17" s="2" t="s">
        <v>66</v>
      </c>
      <c r="B17" s="2" t="s">
        <v>85</v>
      </c>
      <c r="C17" s="2">
        <v>35.4</v>
      </c>
      <c r="D17" s="2">
        <v>29.4</v>
      </c>
      <c r="E17" s="2">
        <v>6</v>
      </c>
      <c r="F17" s="2">
        <v>0</v>
      </c>
      <c r="G17" s="2">
        <v>4</v>
      </c>
      <c r="H17" s="2">
        <v>0</v>
      </c>
      <c r="I17" s="2" t="s">
        <v>279</v>
      </c>
      <c r="J17" s="2" t="s">
        <v>70</v>
      </c>
      <c r="K17" s="2" t="s">
        <v>617</v>
      </c>
      <c r="L17" s="2" t="s">
        <v>618</v>
      </c>
    </row>
    <row r="18" ht="15" customHeight="1" spans="1:12">
      <c r="A18" s="2" t="s">
        <v>66</v>
      </c>
      <c r="B18" s="2" t="s">
        <v>67</v>
      </c>
      <c r="C18" s="2">
        <v>34.6</v>
      </c>
      <c r="D18" s="2">
        <v>34.6</v>
      </c>
      <c r="E18" s="2">
        <v>0</v>
      </c>
      <c r="F18" s="2">
        <v>0</v>
      </c>
      <c r="G18" s="2">
        <v>4</v>
      </c>
      <c r="H18" s="2">
        <v>0</v>
      </c>
      <c r="I18" s="2" t="s">
        <v>279</v>
      </c>
      <c r="J18" s="2" t="s">
        <v>70</v>
      </c>
      <c r="K18" s="2" t="s">
        <v>617</v>
      </c>
      <c r="L18" s="2" t="s">
        <v>618</v>
      </c>
    </row>
    <row r="19" ht="15" customHeight="1" spans="1:12">
      <c r="A19" s="2" t="s">
        <v>66</v>
      </c>
      <c r="B19" s="2" t="s">
        <v>90</v>
      </c>
      <c r="C19" s="2">
        <v>34.6</v>
      </c>
      <c r="D19" s="2">
        <v>34.6</v>
      </c>
      <c r="E19" s="2">
        <v>0</v>
      </c>
      <c r="F19" s="2">
        <v>0</v>
      </c>
      <c r="G19" s="2">
        <v>4</v>
      </c>
      <c r="H19" s="2">
        <v>0</v>
      </c>
      <c r="I19" s="2" t="s">
        <v>279</v>
      </c>
      <c r="J19" s="2" t="s">
        <v>70</v>
      </c>
      <c r="K19" s="2" t="s">
        <v>617</v>
      </c>
      <c r="L19" s="2" t="s">
        <v>618</v>
      </c>
    </row>
    <row r="20" ht="15" customHeight="1" spans="1:12">
      <c r="A20" s="2" t="s">
        <v>66</v>
      </c>
      <c r="B20" s="2" t="s">
        <v>80</v>
      </c>
      <c r="C20" s="2">
        <v>30.3</v>
      </c>
      <c r="D20" s="2">
        <v>30.3</v>
      </c>
      <c r="E20" s="2">
        <v>0</v>
      </c>
      <c r="F20" s="2">
        <v>0</v>
      </c>
      <c r="G20" s="2">
        <v>4</v>
      </c>
      <c r="H20" s="2">
        <v>0</v>
      </c>
      <c r="I20" s="2" t="s">
        <v>279</v>
      </c>
      <c r="J20" s="2" t="s">
        <v>70</v>
      </c>
      <c r="K20" s="2" t="s">
        <v>607</v>
      </c>
      <c r="L20" s="2" t="s">
        <v>628</v>
      </c>
    </row>
    <row r="21" ht="15" customHeight="1" spans="1:12">
      <c r="A21" s="2" t="s">
        <v>66</v>
      </c>
      <c r="B21" s="2" t="s">
        <v>76</v>
      </c>
      <c r="C21" s="2">
        <v>35.4</v>
      </c>
      <c r="D21" s="2">
        <v>35.4</v>
      </c>
      <c r="E21" s="2">
        <v>0</v>
      </c>
      <c r="F21" s="2">
        <v>0</v>
      </c>
      <c r="G21" s="2">
        <v>4</v>
      </c>
      <c r="H21" s="2">
        <v>0</v>
      </c>
      <c r="I21" s="2" t="s">
        <v>279</v>
      </c>
      <c r="J21" s="2" t="s">
        <v>70</v>
      </c>
      <c r="K21" s="2" t="s">
        <v>617</v>
      </c>
      <c r="L21" s="2" t="s">
        <v>618</v>
      </c>
    </row>
    <row r="22" ht="15" customHeight="1" spans="1:12">
      <c r="A22" s="2" t="s">
        <v>95</v>
      </c>
      <c r="B22" s="2" t="s">
        <v>96</v>
      </c>
      <c r="C22" s="2">
        <v>29.2</v>
      </c>
      <c r="D22" s="2">
        <v>29.2</v>
      </c>
      <c r="E22" s="2">
        <v>0</v>
      </c>
      <c r="F22" s="2">
        <v>0</v>
      </c>
      <c r="G22" s="2">
        <v>4</v>
      </c>
      <c r="H22" s="2">
        <v>1.5</v>
      </c>
      <c r="I22" s="2" t="s">
        <v>296</v>
      </c>
      <c r="J22" s="2" t="s">
        <v>329</v>
      </c>
      <c r="K22" s="2" t="s">
        <v>617</v>
      </c>
      <c r="L22" s="2" t="s">
        <v>618</v>
      </c>
    </row>
    <row r="23" ht="15" customHeight="1" spans="1:12">
      <c r="A23" s="2" t="s">
        <v>95</v>
      </c>
      <c r="B23" s="2" t="s">
        <v>115</v>
      </c>
      <c r="C23" s="2">
        <v>30.3</v>
      </c>
      <c r="D23" s="2">
        <v>30.3</v>
      </c>
      <c r="E23" s="2">
        <v>0</v>
      </c>
      <c r="F23" s="2">
        <v>0</v>
      </c>
      <c r="G23" s="2">
        <v>4</v>
      </c>
      <c r="H23" s="2">
        <v>0</v>
      </c>
      <c r="I23" s="2" t="s">
        <v>296</v>
      </c>
      <c r="J23" s="2" t="s">
        <v>70</v>
      </c>
      <c r="K23" s="2" t="s">
        <v>617</v>
      </c>
      <c r="L23" s="2" t="s">
        <v>618</v>
      </c>
    </row>
    <row r="24" ht="15" customHeight="1" spans="1:12">
      <c r="A24" s="2" t="s">
        <v>95</v>
      </c>
      <c r="B24" s="2" t="s">
        <v>102</v>
      </c>
      <c r="C24" s="2">
        <v>29.7</v>
      </c>
      <c r="D24" s="2">
        <v>29.7</v>
      </c>
      <c r="E24" s="2">
        <v>0</v>
      </c>
      <c r="F24" s="2">
        <v>0</v>
      </c>
      <c r="G24" s="2">
        <v>4</v>
      </c>
      <c r="H24" s="2">
        <v>0</v>
      </c>
      <c r="I24" s="2" t="s">
        <v>296</v>
      </c>
      <c r="J24" s="2" t="s">
        <v>70</v>
      </c>
      <c r="K24" s="2" t="s">
        <v>617</v>
      </c>
      <c r="L24" s="2" t="s">
        <v>618</v>
      </c>
    </row>
    <row r="25" ht="15" customHeight="1" spans="1:12">
      <c r="A25" s="2" t="s">
        <v>95</v>
      </c>
      <c r="B25" s="2" t="s">
        <v>106</v>
      </c>
      <c r="C25" s="2">
        <v>30</v>
      </c>
      <c r="D25" s="2">
        <v>30</v>
      </c>
      <c r="E25" s="2">
        <v>0</v>
      </c>
      <c r="F25" s="2">
        <v>0</v>
      </c>
      <c r="G25" s="2">
        <v>4</v>
      </c>
      <c r="H25" s="2">
        <v>1</v>
      </c>
      <c r="I25" s="2" t="s">
        <v>296</v>
      </c>
      <c r="J25" s="2" t="s">
        <v>335</v>
      </c>
      <c r="K25" s="2" t="s">
        <v>607</v>
      </c>
      <c r="L25" s="2" t="s">
        <v>629</v>
      </c>
    </row>
    <row r="26" ht="15" customHeight="1" spans="1:12">
      <c r="A26" s="2" t="s">
        <v>95</v>
      </c>
      <c r="B26" s="2" t="s">
        <v>111</v>
      </c>
      <c r="C26" s="2">
        <v>30.3</v>
      </c>
      <c r="D26" s="2">
        <v>24.3</v>
      </c>
      <c r="E26" s="2">
        <v>6</v>
      </c>
      <c r="F26" s="2">
        <v>0</v>
      </c>
      <c r="G26" s="2">
        <v>4</v>
      </c>
      <c r="H26" s="2">
        <v>0</v>
      </c>
      <c r="I26" s="2" t="s">
        <v>296</v>
      </c>
      <c r="J26" s="2" t="s">
        <v>70</v>
      </c>
      <c r="K26" s="2" t="s">
        <v>617</v>
      </c>
      <c r="L26" s="2" t="s">
        <v>618</v>
      </c>
    </row>
    <row r="27" ht="15" customHeight="1" spans="1:12">
      <c r="A27" s="2" t="s">
        <v>171</v>
      </c>
      <c r="B27" s="2" t="s">
        <v>182</v>
      </c>
      <c r="C27" s="2">
        <v>43.2</v>
      </c>
      <c r="D27" s="2">
        <v>43.2</v>
      </c>
      <c r="E27" s="2">
        <v>0</v>
      </c>
      <c r="F27" s="2">
        <v>0</v>
      </c>
      <c r="G27" s="2">
        <v>4</v>
      </c>
      <c r="H27" s="2">
        <v>2</v>
      </c>
      <c r="I27" s="2" t="s">
        <v>284</v>
      </c>
      <c r="J27" s="2" t="s">
        <v>312</v>
      </c>
      <c r="K27" s="2" t="s">
        <v>607</v>
      </c>
      <c r="L27" s="2" t="s">
        <v>630</v>
      </c>
    </row>
    <row r="28" ht="15" customHeight="1" spans="1:12">
      <c r="A28" s="2" t="s">
        <v>171</v>
      </c>
      <c r="B28" s="2" t="s">
        <v>172</v>
      </c>
      <c r="C28" s="2">
        <v>34.6</v>
      </c>
      <c r="D28" s="2">
        <v>34.6</v>
      </c>
      <c r="E28" s="2">
        <v>0</v>
      </c>
      <c r="F28" s="2">
        <v>0</v>
      </c>
      <c r="G28" s="2">
        <v>4</v>
      </c>
      <c r="H28" s="2">
        <v>2</v>
      </c>
      <c r="I28" s="2" t="s">
        <v>284</v>
      </c>
      <c r="J28" s="2" t="s">
        <v>312</v>
      </c>
      <c r="K28" s="2" t="s">
        <v>617</v>
      </c>
      <c r="L28" s="2" t="s">
        <v>618</v>
      </c>
    </row>
    <row r="29" ht="15" customHeight="1" spans="1:12">
      <c r="A29" s="2" t="s">
        <v>171</v>
      </c>
      <c r="B29" s="2" t="s">
        <v>186</v>
      </c>
      <c r="C29" s="2">
        <v>34.6</v>
      </c>
      <c r="D29" s="2">
        <v>34.6</v>
      </c>
      <c r="E29" s="2">
        <v>0</v>
      </c>
      <c r="F29" s="2">
        <v>0</v>
      </c>
      <c r="G29" s="2">
        <v>4</v>
      </c>
      <c r="H29" s="2">
        <v>2</v>
      </c>
      <c r="I29" s="2" t="s">
        <v>284</v>
      </c>
      <c r="J29" s="2" t="s">
        <v>312</v>
      </c>
      <c r="K29" s="2" t="s">
        <v>617</v>
      </c>
      <c r="L29" s="2" t="s">
        <v>618</v>
      </c>
    </row>
    <row r="30" ht="15" customHeight="1" spans="1:12">
      <c r="A30" s="2" t="s">
        <v>171</v>
      </c>
      <c r="B30" s="2" t="s">
        <v>190</v>
      </c>
      <c r="C30" s="2">
        <v>34.6</v>
      </c>
      <c r="D30" s="2">
        <v>34.6</v>
      </c>
      <c r="E30" s="2">
        <v>0</v>
      </c>
      <c r="F30" s="2">
        <v>0</v>
      </c>
      <c r="G30" s="2">
        <v>4</v>
      </c>
      <c r="H30" s="2">
        <v>2</v>
      </c>
      <c r="I30" s="2" t="s">
        <v>284</v>
      </c>
      <c r="J30" s="2" t="s">
        <v>312</v>
      </c>
      <c r="K30" s="2" t="s">
        <v>617</v>
      </c>
      <c r="L30" s="2" t="s">
        <v>618</v>
      </c>
    </row>
    <row r="31" ht="15" customHeight="1" spans="1:12">
      <c r="A31" s="2" t="s">
        <v>171</v>
      </c>
      <c r="B31" s="2" t="s">
        <v>178</v>
      </c>
      <c r="C31" s="2">
        <v>37.6</v>
      </c>
      <c r="D31" s="2">
        <v>37.6</v>
      </c>
      <c r="E31" s="2">
        <v>0</v>
      </c>
      <c r="F31" s="2">
        <v>0</v>
      </c>
      <c r="G31" s="2">
        <v>4</v>
      </c>
      <c r="H31" s="2">
        <v>2</v>
      </c>
      <c r="I31" s="2" t="s">
        <v>284</v>
      </c>
      <c r="J31" s="2" t="s">
        <v>341</v>
      </c>
      <c r="K31" s="2" t="s">
        <v>607</v>
      </c>
      <c r="L31" s="2" t="s">
        <v>614</v>
      </c>
    </row>
    <row r="32" ht="15" customHeight="1" spans="1:12">
      <c r="A32" s="2" t="s">
        <v>146</v>
      </c>
      <c r="B32" s="2" t="s">
        <v>153</v>
      </c>
      <c r="C32" s="2">
        <v>33.9</v>
      </c>
      <c r="D32" s="2">
        <v>33.9</v>
      </c>
      <c r="E32" s="2">
        <v>0</v>
      </c>
      <c r="F32" s="2">
        <v>0</v>
      </c>
      <c r="G32" s="2">
        <v>4</v>
      </c>
      <c r="H32" s="2">
        <v>2</v>
      </c>
      <c r="I32" s="2" t="s">
        <v>290</v>
      </c>
      <c r="J32" s="2" t="s">
        <v>318</v>
      </c>
      <c r="K32" s="2" t="s">
        <v>607</v>
      </c>
      <c r="L32" s="2" t="s">
        <v>631</v>
      </c>
    </row>
    <row r="33" ht="15" customHeight="1" spans="1:12">
      <c r="A33" s="2" t="s">
        <v>146</v>
      </c>
      <c r="B33" s="2" t="s">
        <v>167</v>
      </c>
      <c r="C33" s="2">
        <v>34.6</v>
      </c>
      <c r="D33" s="2">
        <v>34.6</v>
      </c>
      <c r="E33" s="2">
        <v>0</v>
      </c>
      <c r="F33" s="2">
        <v>0</v>
      </c>
      <c r="G33" s="2">
        <v>4</v>
      </c>
      <c r="H33" s="2">
        <v>2</v>
      </c>
      <c r="I33" s="2" t="s">
        <v>290</v>
      </c>
      <c r="J33" s="2" t="s">
        <v>318</v>
      </c>
      <c r="K33" s="2" t="s">
        <v>607</v>
      </c>
      <c r="L33" s="2" t="s">
        <v>631</v>
      </c>
    </row>
    <row r="34" ht="15" customHeight="1" spans="1:12">
      <c r="A34" s="2" t="s">
        <v>146</v>
      </c>
      <c r="B34" s="2" t="s">
        <v>158</v>
      </c>
      <c r="C34" s="2">
        <v>29.7</v>
      </c>
      <c r="D34" s="2">
        <v>29.7</v>
      </c>
      <c r="E34" s="2">
        <v>0</v>
      </c>
      <c r="F34" s="2">
        <v>0</v>
      </c>
      <c r="G34" s="2">
        <v>4</v>
      </c>
      <c r="H34" s="2">
        <v>2</v>
      </c>
      <c r="I34" s="2" t="s">
        <v>290</v>
      </c>
      <c r="J34" s="2" t="s">
        <v>318</v>
      </c>
      <c r="K34" s="2" t="s">
        <v>607</v>
      </c>
      <c r="L34" s="2" t="s">
        <v>632</v>
      </c>
    </row>
    <row r="35" ht="15" customHeight="1" spans="1:12">
      <c r="A35" s="2" t="s">
        <v>146</v>
      </c>
      <c r="B35" s="2" t="s">
        <v>147</v>
      </c>
      <c r="C35" s="2">
        <v>36.6</v>
      </c>
      <c r="D35" s="2">
        <v>36.6</v>
      </c>
      <c r="E35" s="2">
        <v>0</v>
      </c>
      <c r="F35" s="2">
        <v>0</v>
      </c>
      <c r="G35" s="2">
        <v>4</v>
      </c>
      <c r="H35" s="2">
        <v>2</v>
      </c>
      <c r="I35" s="2" t="s">
        <v>290</v>
      </c>
      <c r="J35" s="2" t="s">
        <v>318</v>
      </c>
      <c r="K35" s="2" t="s">
        <v>607</v>
      </c>
      <c r="L35" s="2" t="s">
        <v>631</v>
      </c>
    </row>
    <row r="36" ht="15" customHeight="1" spans="1:12">
      <c r="A36" s="2" t="s">
        <v>146</v>
      </c>
      <c r="B36" s="2" t="s">
        <v>162</v>
      </c>
      <c r="C36" s="2">
        <v>29.7</v>
      </c>
      <c r="D36" s="2">
        <v>29.7</v>
      </c>
      <c r="E36" s="2">
        <v>0</v>
      </c>
      <c r="F36" s="2">
        <v>0</v>
      </c>
      <c r="G36" s="2">
        <v>4</v>
      </c>
      <c r="H36" s="2">
        <v>2</v>
      </c>
      <c r="I36" s="2" t="s">
        <v>290</v>
      </c>
      <c r="J36" s="2" t="s">
        <v>318</v>
      </c>
      <c r="K36" s="2" t="s">
        <v>607</v>
      </c>
      <c r="L36" s="2" t="s">
        <v>631</v>
      </c>
    </row>
    <row r="37" ht="15" customHeight="1" spans="1:12">
      <c r="A37" s="2" t="s">
        <v>119</v>
      </c>
      <c r="B37" s="2" t="s">
        <v>133</v>
      </c>
      <c r="C37" s="2">
        <v>49</v>
      </c>
      <c r="D37" s="2">
        <v>49</v>
      </c>
      <c r="E37" s="2">
        <v>0</v>
      </c>
      <c r="F37" s="2">
        <v>0</v>
      </c>
      <c r="G37" s="2">
        <v>4</v>
      </c>
      <c r="H37" s="2">
        <v>1</v>
      </c>
      <c r="I37" s="2" t="s">
        <v>301</v>
      </c>
      <c r="J37" s="2" t="s">
        <v>633</v>
      </c>
      <c r="K37" s="2" t="s">
        <v>607</v>
      </c>
      <c r="L37" s="2" t="s">
        <v>627</v>
      </c>
    </row>
    <row r="38" ht="15" customHeight="1" spans="1:12">
      <c r="A38" s="2" t="s">
        <v>119</v>
      </c>
      <c r="B38" s="2" t="s">
        <v>142</v>
      </c>
      <c r="C38" s="2">
        <v>45</v>
      </c>
      <c r="D38" s="2">
        <v>45</v>
      </c>
      <c r="E38" s="2">
        <v>0</v>
      </c>
      <c r="F38" s="2">
        <v>0</v>
      </c>
      <c r="G38" s="2">
        <v>4</v>
      </c>
      <c r="H38" s="2">
        <v>1</v>
      </c>
      <c r="I38" s="2" t="s">
        <v>301</v>
      </c>
      <c r="J38" s="2" t="s">
        <v>633</v>
      </c>
      <c r="K38" s="2" t="s">
        <v>617</v>
      </c>
      <c r="L38" s="2" t="s">
        <v>618</v>
      </c>
    </row>
    <row r="39" ht="15" customHeight="1" spans="1:12">
      <c r="A39" s="2" t="s">
        <v>119</v>
      </c>
      <c r="B39" s="2" t="s">
        <v>128</v>
      </c>
      <c r="C39" s="2">
        <v>45</v>
      </c>
      <c r="D39" s="2">
        <v>45</v>
      </c>
      <c r="E39" s="2">
        <v>0</v>
      </c>
      <c r="F39" s="2">
        <v>0</v>
      </c>
      <c r="G39" s="2">
        <v>4</v>
      </c>
      <c r="H39" s="2">
        <v>1</v>
      </c>
      <c r="I39" s="2" t="s">
        <v>301</v>
      </c>
      <c r="J39" s="2" t="s">
        <v>633</v>
      </c>
      <c r="K39" s="2" t="s">
        <v>607</v>
      </c>
      <c r="L39" s="2" t="s">
        <v>628</v>
      </c>
    </row>
    <row r="40" ht="15" customHeight="1" spans="1:12">
      <c r="A40" s="2" t="s">
        <v>119</v>
      </c>
      <c r="B40" s="2" t="s">
        <v>120</v>
      </c>
      <c r="C40" s="2">
        <v>45</v>
      </c>
      <c r="D40" s="2">
        <v>45</v>
      </c>
      <c r="E40" s="2">
        <v>0</v>
      </c>
      <c r="F40" s="2">
        <v>0</v>
      </c>
      <c r="G40" s="2">
        <v>4</v>
      </c>
      <c r="H40" s="2">
        <v>1</v>
      </c>
      <c r="I40" s="2" t="s">
        <v>301</v>
      </c>
      <c r="J40" s="2" t="s">
        <v>633</v>
      </c>
      <c r="K40" s="2" t="s">
        <v>607</v>
      </c>
      <c r="L40" s="2" t="s">
        <v>630</v>
      </c>
    </row>
    <row r="41" ht="15" customHeight="1" spans="1:12">
      <c r="A41" s="2" t="s">
        <v>119</v>
      </c>
      <c r="B41" s="2" t="s">
        <v>137</v>
      </c>
      <c r="C41" s="2">
        <v>45</v>
      </c>
      <c r="D41" s="2">
        <v>45</v>
      </c>
      <c r="E41" s="2">
        <v>0</v>
      </c>
      <c r="F41" s="2">
        <v>0</v>
      </c>
      <c r="G41" s="2">
        <v>4</v>
      </c>
      <c r="H41" s="2">
        <v>1</v>
      </c>
      <c r="I41" s="2" t="s">
        <v>301</v>
      </c>
      <c r="J41" s="2" t="s">
        <v>633</v>
      </c>
      <c r="K41" s="2" t="s">
        <v>617</v>
      </c>
      <c r="L41" s="2" t="s">
        <v>618</v>
      </c>
    </row>
  </sheetData>
  <conditionalFormatting sqref="K2:K41">
    <cfRule type="expression" dxfId="6" priority="1">
      <formula>$K2="通过但需重点复核"</formula>
    </cfRule>
    <cfRule type="expression" dxfId="7" priority="2">
      <formula>$K2="需修正"</formula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B16" sqref="B16"/>
    </sheetView>
  </sheetViews>
  <sheetFormatPr defaultColWidth="9" defaultRowHeight="16.8" outlineLevelCol="5"/>
  <cols>
    <col min="1" max="1" width="26" customWidth="1"/>
    <col min="2" max="2" width="50" customWidth="1"/>
    <col min="3" max="3" width="42" customWidth="1"/>
    <col min="4" max="4" width="38" customWidth="1"/>
    <col min="5" max="5" width="26" customWidth="1"/>
    <col min="6" max="6" width="55" customWidth="1"/>
  </cols>
  <sheetData>
    <row r="1" ht="15" customHeight="1" spans="1:6">
      <c r="A1" s="1" t="s">
        <v>634</v>
      </c>
      <c r="B1" s="1" t="s">
        <v>635</v>
      </c>
      <c r="C1" s="1" t="s">
        <v>636</v>
      </c>
      <c r="D1" s="1" t="s">
        <v>637</v>
      </c>
      <c r="E1" s="1" t="s">
        <v>638</v>
      </c>
      <c r="F1" s="1" t="s">
        <v>639</v>
      </c>
    </row>
    <row r="2" ht="15" customHeight="1" spans="1:6">
      <c r="A2" s="2" t="s">
        <v>640</v>
      </c>
      <c r="B2" s="2" t="s">
        <v>641</v>
      </c>
      <c r="C2" s="2" t="s">
        <v>642</v>
      </c>
      <c r="D2" s="2" t="s">
        <v>643</v>
      </c>
      <c r="E2" s="2" t="s">
        <v>644</v>
      </c>
      <c r="F2" s="2" t="s">
        <v>645</v>
      </c>
    </row>
    <row r="3" ht="15" customHeight="1" spans="1:6">
      <c r="A3" s="2" t="s">
        <v>646</v>
      </c>
      <c r="B3" s="2" t="s">
        <v>647</v>
      </c>
      <c r="C3" s="2" t="s">
        <v>648</v>
      </c>
      <c r="D3" s="2" t="s">
        <v>649</v>
      </c>
      <c r="E3" s="2" t="s">
        <v>644</v>
      </c>
      <c r="F3" s="2" t="s">
        <v>650</v>
      </c>
    </row>
    <row r="4" ht="15" customHeight="1" spans="1:6">
      <c r="A4" s="2" t="s">
        <v>651</v>
      </c>
      <c r="B4" s="2" t="s">
        <v>652</v>
      </c>
      <c r="C4" s="2" t="s">
        <v>653</v>
      </c>
      <c r="D4" s="2" t="s">
        <v>654</v>
      </c>
      <c r="E4" s="2" t="s">
        <v>644</v>
      </c>
      <c r="F4" s="2" t="s">
        <v>655</v>
      </c>
    </row>
    <row r="5" ht="15" customHeight="1" spans="1:6">
      <c r="A5" s="2" t="s">
        <v>656</v>
      </c>
      <c r="B5" s="2" t="s">
        <v>657</v>
      </c>
      <c r="C5" s="2" t="s">
        <v>658</v>
      </c>
      <c r="D5" s="2" t="s">
        <v>659</v>
      </c>
      <c r="E5" s="2" t="s">
        <v>660</v>
      </c>
      <c r="F5" s="2" t="s">
        <v>661</v>
      </c>
    </row>
    <row r="6" ht="15" customHeight="1" spans="1:6">
      <c r="A6" s="2" t="s">
        <v>662</v>
      </c>
      <c r="B6" s="2" t="s">
        <v>663</v>
      </c>
      <c r="C6" s="2" t="s">
        <v>664</v>
      </c>
      <c r="D6" s="2" t="s">
        <v>665</v>
      </c>
      <c r="E6" s="2" t="s">
        <v>666</v>
      </c>
      <c r="F6" s="2" t="s">
        <v>667</v>
      </c>
    </row>
    <row r="7" ht="15" customHeight="1" spans="1:6">
      <c r="A7" s="2" t="s">
        <v>668</v>
      </c>
      <c r="B7" s="2" t="s">
        <v>669</v>
      </c>
      <c r="C7" s="2" t="s">
        <v>670</v>
      </c>
      <c r="D7" s="2" t="s">
        <v>671</v>
      </c>
      <c r="E7" s="2" t="s">
        <v>644</v>
      </c>
      <c r="F7" s="2" t="s">
        <v>672</v>
      </c>
    </row>
    <row r="8" ht="15" customHeight="1" spans="1:6">
      <c r="A8" s="2" t="s">
        <v>673</v>
      </c>
      <c r="B8" s="2" t="s">
        <v>674</v>
      </c>
      <c r="C8" s="2" t="s">
        <v>675</v>
      </c>
      <c r="D8" s="2" t="s">
        <v>676</v>
      </c>
      <c r="E8" s="2" t="s">
        <v>677</v>
      </c>
      <c r="F8" s="2" t="s">
        <v>678</v>
      </c>
    </row>
    <row r="9" ht="15" customHeight="1" spans="1:6">
      <c r="A9" s="2" t="s">
        <v>679</v>
      </c>
      <c r="B9" s="2" t="s">
        <v>680</v>
      </c>
      <c r="C9" s="2" t="s">
        <v>681</v>
      </c>
      <c r="D9" s="2" t="s">
        <v>682</v>
      </c>
      <c r="E9" s="2" t="s">
        <v>644</v>
      </c>
      <c r="F9" s="2" t="s">
        <v>683</v>
      </c>
    </row>
    <row r="10" ht="15" customHeight="1" spans="1:6">
      <c r="A10" s="2" t="s">
        <v>684</v>
      </c>
      <c r="B10" s="2" t="s">
        <v>685</v>
      </c>
      <c r="C10" s="2" t="s">
        <v>686</v>
      </c>
      <c r="D10" s="2" t="s">
        <v>687</v>
      </c>
      <c r="E10" s="2" t="s">
        <v>644</v>
      </c>
      <c r="F10" s="2" t="s">
        <v>688</v>
      </c>
    </row>
    <row r="11" ht="15" customHeight="1" spans="1:6">
      <c r="A11" s="2" t="s">
        <v>689</v>
      </c>
      <c r="B11" s="2" t="s">
        <v>690</v>
      </c>
      <c r="C11" s="2" t="s">
        <v>691</v>
      </c>
      <c r="D11" s="2" t="s">
        <v>692</v>
      </c>
      <c r="E11" s="2" t="s">
        <v>644</v>
      </c>
      <c r="F11" s="2" t="s">
        <v>672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B29" sqref="B29"/>
    </sheetView>
  </sheetViews>
  <sheetFormatPr defaultColWidth="9" defaultRowHeight="16.8" outlineLevelRow="5" outlineLevelCol="2"/>
  <cols>
    <col min="1" max="1" width="22" customWidth="1"/>
    <col min="2" max="3" width="58" customWidth="1"/>
  </cols>
  <sheetData>
    <row r="1" ht="15" customHeight="1" spans="1:3">
      <c r="A1" s="1" t="s">
        <v>528</v>
      </c>
      <c r="B1" s="1" t="s">
        <v>693</v>
      </c>
      <c r="C1" s="1" t="s">
        <v>694</v>
      </c>
    </row>
    <row r="2" ht="15" customHeight="1" spans="1:3">
      <c r="A2" s="2" t="s">
        <v>695</v>
      </c>
      <c r="B2" s="2" t="s">
        <v>696</v>
      </c>
      <c r="C2" s="2" t="s">
        <v>697</v>
      </c>
    </row>
    <row r="3" ht="15" customHeight="1" spans="1:3">
      <c r="A3" s="2" t="s">
        <v>698</v>
      </c>
      <c r="B3" s="2" t="s">
        <v>699</v>
      </c>
      <c r="C3" s="2" t="s">
        <v>700</v>
      </c>
    </row>
    <row r="4" ht="15" customHeight="1" spans="1:3">
      <c r="A4" s="2" t="s">
        <v>701</v>
      </c>
      <c r="B4" s="2" t="s">
        <v>702</v>
      </c>
      <c r="C4" s="2" t="s">
        <v>703</v>
      </c>
    </row>
    <row r="5" ht="15" customHeight="1" spans="1:3">
      <c r="A5" s="2" t="s">
        <v>704</v>
      </c>
      <c r="B5" s="2" t="s">
        <v>705</v>
      </c>
      <c r="C5" s="2" t="s">
        <v>706</v>
      </c>
    </row>
    <row r="6" ht="15" customHeight="1" spans="1:3">
      <c r="A6" s="2" t="s">
        <v>707</v>
      </c>
      <c r="B6" s="2" t="s">
        <v>708</v>
      </c>
      <c r="C6" s="2" t="s">
        <v>709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00_调整结论</vt:lpstr>
      <vt:lpstr>01_40个食谱_A+B+C</vt:lpstr>
      <vt:lpstr>02_B包_C包定义</vt:lpstr>
      <vt:lpstr>03_A包物料白名单</vt:lpstr>
      <vt:lpstr>04_高端功能物料池</vt:lpstr>
      <vt:lpstr>05_分类合并规则</vt:lpstr>
      <vt:lpstr>06_变更日志</vt:lpstr>
      <vt:lpstr>07_B包科学依据</vt:lpstr>
      <vt:lpstr>08_C包科学依据</vt:lpstr>
      <vt:lpstr>09_营养合规审查</vt:lpstr>
      <vt:lpstr>10_上市前验证清单</vt:lpstr>
      <vt:lpstr>11_蛋白肾脏说明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松鼠君</cp:lastModifiedBy>
  <dcterms:created xsi:type="dcterms:W3CDTF">2026-07-01T20:04:00Z</dcterms:created>
  <dcterms:modified xsi:type="dcterms:W3CDTF">2026-07-01T15:10:54Z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906A659AB3A05345F5B4436A09FED053_43</vt:lpwstr>
  </property>
  <property fmtid="{D5CDD505-2E9C-101B-9397-08002B2CF9AE}" pid="3" name="KSOProductBuildVer">
    <vt:lpwstr>2052-7.3.1.8967</vt:lpwstr>
  </property>
</Properties>
</file>